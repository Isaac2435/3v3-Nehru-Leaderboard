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5.xml" ContentType="application/vnd.ms-office.activeX+xml"/>
  <Override PartName="/xl/activeX/activeX6.xml" ContentType="application/vnd.ms-office.activeX+xml"/>
  <Override PartName="/xl/activeX/activeX7.xml" ContentType="application/vnd.ms-office.activeX+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drawings/drawing3.xml" ContentType="application/vnd.openxmlformats-officedocument.drawing+xml"/>
  <Override PartName="/xl/activeX/activeX8.xml" ContentType="application/vnd.ms-office.activeX+xml"/>
  <Override PartName="/xl/activeX/activeX9.xml" ContentType="application/vnd.ms-office.activeX+xml"/>
  <Override PartName="/xl/drawings/drawing4.xml" ContentType="application/vnd.openxmlformats-officedocument.drawing+xml"/>
  <Override PartName="/xl/activeX/activeX10.xml" ContentType="application/vnd.ms-office.activeX+xml"/>
  <Override PartName="/xl/activeX/activeX11.xml" ContentType="application/vnd.ms-office.activeX+xml"/>
  <Override PartName="/xl/drawings/drawing5.xml" ContentType="application/vnd.openxmlformats-officedocument.drawing+xml"/>
  <Override PartName="/xl/activeX/activeX12.xml" ContentType="application/vnd.ms-office.activeX+xml"/>
  <Override PartName="/xl/activeX/activeX13.xml" ContentType="application/vnd.ms-office.activeX+xml"/>
  <Override PartName="/xl/drawings/drawing6.xml" ContentType="application/vnd.openxmlformats-officedocument.drawing+xml"/>
  <Override PartName="/xl/activeX/activeX14.xml" ContentType="application/vnd.ms-office.activeX+xml"/>
  <Override PartName="/xl/activeX/activeX15.xml" ContentType="application/vnd.ms-office.activeX+xml"/>
  <Override PartName="/xl/drawings/drawing7.xml" ContentType="application/vnd.openxmlformats-officedocument.drawing+xml"/>
  <Override PartName="/xl/activeX/activeX16.xml" ContentType="application/vnd.ms-office.activeX+xml"/>
  <Override PartName="/xl/activeX/activeX17.xml" ContentType="application/vnd.ms-office.activeX+xml"/>
  <Override PartName="/xl/drawings/drawing8.xml" ContentType="application/vnd.openxmlformats-officedocument.drawing+xml"/>
  <Override PartName="/xl/activeX/activeX18.xml" ContentType="application/vnd.ms-office.activeX+xml"/>
  <Override PartName="/xl/activeX/activeX19.xml" ContentType="application/vnd.ms-office.activeX+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B28983A7-C136-41F2-BA23-9A9858ACD612}" xr6:coauthVersionLast="47" xr6:coauthVersionMax="47" xr10:uidLastSave="{00000000-0000-0000-0000-000000000000}"/>
  <bookViews>
    <workbookView xWindow="-108" yWindow="-108" windowWidth="23256" windowHeight="12576" xr2:uid="{25B1419F-11A2-49D6-9887-41334275B1CF}"/>
  </bookViews>
  <sheets>
    <sheet name="Welcome" sheetId="10" r:id="rId1"/>
    <sheet name="Roll" sheetId="1" r:id="rId2"/>
    <sheet name="Manual Display" sheetId="9" r:id="rId3"/>
    <sheet name="Incomplete Teams" sheetId="2" state="hidden" r:id="rId4"/>
    <sheet name="Teams of 2+1" sheetId="4" state="hidden" r:id="rId5"/>
    <sheet name="Teams of 2+2" sheetId="5" state="hidden" r:id="rId6"/>
    <sheet name="Teams of 3x1" sheetId="6" state="hidden" r:id="rId7"/>
    <sheet name="Team List" sheetId="8" state="hidden" r:id="rId8"/>
    <sheet name="Display" sheetId="7" state="hidden" r:id="rId9"/>
    <sheet name="Round 1" sheetId="13" r:id="rId10"/>
    <sheet name="Round 1 Working" sheetId="14" state="hidden" r:id="rId11"/>
    <sheet name="Round 2" sheetId="16" r:id="rId12"/>
    <sheet name="Round 2 Working" sheetId="17" state="hidden" r:id="rId13"/>
    <sheet name="Round 3" sheetId="18" r:id="rId14"/>
    <sheet name="Round 3 Working" sheetId="19" state="hidden" r:id="rId15"/>
    <sheet name="Round 4" sheetId="20" r:id="rId16"/>
    <sheet name="Round 4 Working" sheetId="21" state="hidden" r:id="rId17"/>
    <sheet name="Round 5" sheetId="22" r:id="rId18"/>
    <sheet name="Round 5 Working" sheetId="23" state="hidden" r:id="rId19"/>
    <sheet name="Round 6" sheetId="25" r:id="rId20"/>
    <sheet name="Round 6 Working" sheetId="26" state="hidden" r:id="rId21"/>
    <sheet name="Speaker Leaderboard" sheetId="12" state="hidden" r:id="rId22"/>
    <sheet name="Team Leaderboard" sheetId="15" state="hidden" r:id="rId23"/>
    <sheet name="Leaderboard Display" sheetId="24" r:id="rId24"/>
    <sheet name="Debugging" sheetId="11" r:id="rId25"/>
  </sheets>
  <definedNames>
    <definedName name="_xleta.AVERAGE" hidden="1" xlm="1">#NAME?</definedName>
    <definedName name="_xleta.COUNTA" hidden="1" xlm="1">#NAME?</definedName>
    <definedName name="_xleta.COUNTIF" hidden="1" xlm="1">#NAME?</definedName>
    <definedName name="_xleta.FILTER" hidden="1" xlm="1">#NAME?</definedName>
    <definedName name="_xleta.IFERROR" hidden="1" xlm="1">#NAME?</definedName>
    <definedName name="_xleta.MAP" hidden="1" xlm="1">#NAME?</definedName>
    <definedName name="_xleta.ROUND" hidden="1" xlm="1">#NAME?</definedName>
    <definedName name="_xleta.ROW" hidden="1" xlm="1">#NAME?</definedName>
    <definedName name="_xleta.SORTBY" hidden="1" xlm="1">#NAME?</definedName>
    <definedName name="_xleta.SUMIF" hidden="1" xlm="1">#NAME?</definedName>
    <definedName name="_xlpm.c" hidden="1" xlm="1">#NAME?</definedName>
    <definedName name="_xlpm.r" hidden="1" xlm="1">#NAME?</definedName>
    <definedName name="_xlpm.x" hidden="1" xlm="1">#NAME?</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7" l="1" a="1"/>
  <c r="F4" i="7"/>
  <c r="E4" i="7" a="1"/>
  <c r="E4" i="7"/>
  <c r="C4" i="7" a="1"/>
  <c r="C4" i="7"/>
  <c r="B4" i="7" a="1"/>
  <c r="B4" i="7"/>
  <c r="K2" i="17" a="1"/>
  <c r="K2" i="17" s="1"/>
  <c r="I2" i="17" a="1"/>
  <c r="I2" i="17" s="1"/>
  <c r="G2" i="17" a="1"/>
  <c r="G2" i="17" s="1"/>
  <c r="E2" i="17" a="1"/>
  <c r="E2" i="17" s="1"/>
  <c r="C2" i="17" a="1"/>
  <c r="C2" i="17" s="1"/>
  <c r="A2" i="17" a="1"/>
  <c r="A2" i="17" s="1"/>
  <c r="K2" i="14" a="1"/>
  <c r="K2" i="14" s="1"/>
  <c r="I2" i="14" a="1"/>
  <c r="I2" i="14" s="1"/>
  <c r="G2" i="14" a="1"/>
  <c r="G2" i="14" s="1"/>
  <c r="E2" i="14" a="1"/>
  <c r="E2" i="14" s="1"/>
  <c r="C2" i="14" a="1"/>
  <c r="C2" i="14" s="1"/>
  <c r="A2" i="14" a="1"/>
  <c r="A2" i="14" s="1"/>
  <c r="K2" i="26" a="1"/>
  <c r="K2" i="26" s="1"/>
  <c r="I2" i="26" a="1"/>
  <c r="I2" i="26" s="1"/>
  <c r="G2" i="26" a="1"/>
  <c r="G2" i="26" s="1"/>
  <c r="E2" i="26" a="1"/>
  <c r="E2" i="26" s="1"/>
  <c r="C2" i="26" a="1"/>
  <c r="C2" i="26" s="1"/>
  <c r="A2" i="26" a="1"/>
  <c r="A2" i="26" s="1"/>
  <c r="V120" i="26"/>
  <c r="O120" i="26"/>
  <c r="V119" i="26"/>
  <c r="O119" i="26"/>
  <c r="V118" i="26"/>
  <c r="O118" i="26"/>
  <c r="V117" i="26"/>
  <c r="O117" i="26"/>
  <c r="V116" i="26"/>
  <c r="O116" i="26"/>
  <c r="V115" i="26"/>
  <c r="O115" i="26"/>
  <c r="V114" i="26"/>
  <c r="O114" i="26"/>
  <c r="V113" i="26"/>
  <c r="O113" i="26"/>
  <c r="V112" i="26"/>
  <c r="O112" i="26"/>
  <c r="V111" i="26"/>
  <c r="O111" i="26"/>
  <c r="V110" i="26"/>
  <c r="O110" i="26"/>
  <c r="V109" i="26"/>
  <c r="O109" i="26"/>
  <c r="V108" i="26"/>
  <c r="O108" i="26"/>
  <c r="V107" i="26"/>
  <c r="O107" i="26"/>
  <c r="V106" i="26"/>
  <c r="O106" i="26"/>
  <c r="V105" i="26"/>
  <c r="O105" i="26"/>
  <c r="V104" i="26"/>
  <c r="O104" i="26"/>
  <c r="V103" i="26"/>
  <c r="O103" i="26"/>
  <c r="V102" i="26"/>
  <c r="O102" i="26"/>
  <c r="V101" i="26"/>
  <c r="O101" i="26"/>
  <c r="V100" i="26"/>
  <c r="O100" i="26"/>
  <c r="V99" i="26"/>
  <c r="O99" i="26"/>
  <c r="V98" i="26"/>
  <c r="O98" i="26"/>
  <c r="V97" i="26"/>
  <c r="O97" i="26"/>
  <c r="V96" i="26"/>
  <c r="O96" i="26"/>
  <c r="V95" i="26"/>
  <c r="O95" i="26"/>
  <c r="V94" i="26"/>
  <c r="O94" i="26"/>
  <c r="V93" i="26"/>
  <c r="O93" i="26"/>
  <c r="V92" i="26"/>
  <c r="O92" i="26"/>
  <c r="V91" i="26"/>
  <c r="O91" i="26"/>
  <c r="V90" i="26"/>
  <c r="O90" i="26"/>
  <c r="V89" i="26"/>
  <c r="O89" i="26"/>
  <c r="V88" i="26"/>
  <c r="O88" i="26"/>
  <c r="V87" i="26"/>
  <c r="O87" i="26"/>
  <c r="V86" i="26"/>
  <c r="O86" i="26"/>
  <c r="V85" i="26"/>
  <c r="O85" i="26"/>
  <c r="V84" i="26"/>
  <c r="O84" i="26"/>
  <c r="V83" i="26"/>
  <c r="O83" i="26"/>
  <c r="V82" i="26"/>
  <c r="O82" i="26"/>
  <c r="V81" i="26"/>
  <c r="O81" i="26"/>
  <c r="V80" i="26"/>
  <c r="O80" i="26"/>
  <c r="V79" i="26"/>
  <c r="O79" i="26"/>
  <c r="V78" i="26"/>
  <c r="O78" i="26"/>
  <c r="V77" i="26"/>
  <c r="O77" i="26"/>
  <c r="V76" i="26"/>
  <c r="O76" i="26"/>
  <c r="V75" i="26"/>
  <c r="O75" i="26"/>
  <c r="V74" i="26"/>
  <c r="O74" i="26"/>
  <c r="V73" i="26"/>
  <c r="O73" i="26"/>
  <c r="V72" i="26"/>
  <c r="O72" i="26"/>
  <c r="V71" i="26"/>
  <c r="O71" i="26"/>
  <c r="V70" i="26"/>
  <c r="O70" i="26"/>
  <c r="V69" i="26"/>
  <c r="O69" i="26"/>
  <c r="V68" i="26"/>
  <c r="O68" i="26"/>
  <c r="V67" i="26"/>
  <c r="O67" i="26"/>
  <c r="V66" i="26"/>
  <c r="O66" i="26"/>
  <c r="V65" i="26"/>
  <c r="O65" i="26"/>
  <c r="V64" i="26"/>
  <c r="O64" i="26"/>
  <c r="V63" i="26"/>
  <c r="O63" i="26"/>
  <c r="V62" i="26"/>
  <c r="O62" i="26"/>
  <c r="V61" i="26"/>
  <c r="O61" i="26"/>
  <c r="Z60" i="26"/>
  <c r="Y60" i="26"/>
  <c r="X60" i="26"/>
  <c r="V60" i="26"/>
  <c r="W60" i="26" s="1"/>
  <c r="S60" i="26"/>
  <c r="R60" i="26"/>
  <c r="Q60" i="26"/>
  <c r="O60" i="26"/>
  <c r="P60" i="26" s="1"/>
  <c r="Z59" i="26"/>
  <c r="Y59" i="26"/>
  <c r="X59" i="26"/>
  <c r="V59" i="26"/>
  <c r="W59" i="26" s="1"/>
  <c r="S59" i="26"/>
  <c r="R59" i="26"/>
  <c r="Q59" i="26"/>
  <c r="P59" i="26"/>
  <c r="O59" i="26"/>
  <c r="Z58" i="26"/>
  <c r="X58" i="26"/>
  <c r="V58" i="26"/>
  <c r="W58" i="26" s="1"/>
  <c r="S58" i="26"/>
  <c r="Q58" i="26"/>
  <c r="R58" i="26" s="1"/>
  <c r="O58" i="26"/>
  <c r="P58" i="26" s="1"/>
  <c r="Z57" i="26"/>
  <c r="Y57" i="26"/>
  <c r="X57" i="26"/>
  <c r="V57" i="26"/>
  <c r="W57" i="26" s="1"/>
  <c r="S57" i="26"/>
  <c r="R57" i="26"/>
  <c r="Q57" i="26"/>
  <c r="O57" i="26"/>
  <c r="P57" i="26" s="1"/>
  <c r="Z56" i="26"/>
  <c r="Y56" i="26"/>
  <c r="X56" i="26"/>
  <c r="V56" i="26"/>
  <c r="W56" i="26" s="1"/>
  <c r="S56" i="26"/>
  <c r="R56" i="26"/>
  <c r="Q56" i="26"/>
  <c r="O56" i="26"/>
  <c r="P56" i="26" s="1"/>
  <c r="Z55" i="26"/>
  <c r="X55" i="26"/>
  <c r="V55" i="26"/>
  <c r="W55" i="26" s="1"/>
  <c r="S55" i="26"/>
  <c r="Q55" i="26"/>
  <c r="P55" i="26"/>
  <c r="O55" i="26"/>
  <c r="Z54" i="26"/>
  <c r="Y54" i="26"/>
  <c r="X54" i="26"/>
  <c r="V54" i="26"/>
  <c r="W54" i="26" s="1"/>
  <c r="S54" i="26"/>
  <c r="R54" i="26"/>
  <c r="Q54" i="26"/>
  <c r="O54" i="26"/>
  <c r="P54" i="26" s="1"/>
  <c r="Z53" i="26"/>
  <c r="Y53" i="26"/>
  <c r="X53" i="26"/>
  <c r="V53" i="26"/>
  <c r="W53" i="26" s="1"/>
  <c r="S53" i="26"/>
  <c r="R53" i="26"/>
  <c r="Q53" i="26"/>
  <c r="P53" i="26"/>
  <c r="O53" i="26"/>
  <c r="Z52" i="26"/>
  <c r="X52" i="26"/>
  <c r="V52" i="26"/>
  <c r="W52" i="26" s="1"/>
  <c r="S52" i="26"/>
  <c r="Q52" i="26"/>
  <c r="R52" i="26" s="1"/>
  <c r="O52" i="26"/>
  <c r="P52" i="26" s="1"/>
  <c r="Z51" i="26"/>
  <c r="Y51" i="26"/>
  <c r="X51" i="26"/>
  <c r="V51" i="26"/>
  <c r="W51" i="26" s="1"/>
  <c r="S51" i="26"/>
  <c r="R51" i="26"/>
  <c r="Q51" i="26"/>
  <c r="O51" i="26"/>
  <c r="P51" i="26" s="1"/>
  <c r="Z50" i="26"/>
  <c r="Y50" i="26"/>
  <c r="X50" i="26"/>
  <c r="V50" i="26"/>
  <c r="W50" i="26" s="1"/>
  <c r="S50" i="26"/>
  <c r="R50" i="26"/>
  <c r="Q50" i="26"/>
  <c r="O50" i="26"/>
  <c r="P50" i="26" s="1"/>
  <c r="Z49" i="26"/>
  <c r="X49" i="26"/>
  <c r="V49" i="26"/>
  <c r="W49" i="26" s="1"/>
  <c r="S49" i="26"/>
  <c r="Q49" i="26"/>
  <c r="P49" i="26"/>
  <c r="O49" i="26"/>
  <c r="Z48" i="26"/>
  <c r="Y48" i="26"/>
  <c r="X48" i="26"/>
  <c r="V48" i="26"/>
  <c r="W48" i="26" s="1"/>
  <c r="S48" i="26"/>
  <c r="R48" i="26"/>
  <c r="Q48" i="26"/>
  <c r="O48" i="26"/>
  <c r="P48" i="26" s="1"/>
  <c r="Z47" i="26"/>
  <c r="Y47" i="26"/>
  <c r="X47" i="26"/>
  <c r="V47" i="26"/>
  <c r="W47" i="26" s="1"/>
  <c r="S47" i="26"/>
  <c r="R47" i="26"/>
  <c r="Q47" i="26"/>
  <c r="P47" i="26"/>
  <c r="O47" i="26"/>
  <c r="Z46" i="26"/>
  <c r="X46" i="26"/>
  <c r="V46" i="26"/>
  <c r="W46" i="26" s="1"/>
  <c r="S46" i="26"/>
  <c r="Q46" i="26"/>
  <c r="R46" i="26" s="1"/>
  <c r="O46" i="26"/>
  <c r="P46" i="26" s="1"/>
  <c r="Z45" i="26"/>
  <c r="Y45" i="26"/>
  <c r="X45" i="26"/>
  <c r="V45" i="26"/>
  <c r="W45" i="26" s="1"/>
  <c r="S45" i="26"/>
  <c r="R45" i="26"/>
  <c r="Q45" i="26"/>
  <c r="O45" i="26"/>
  <c r="P45" i="26" s="1"/>
  <c r="Z44" i="26"/>
  <c r="Y44" i="26"/>
  <c r="X44" i="26"/>
  <c r="V44" i="26"/>
  <c r="W44" i="26" s="1"/>
  <c r="S44" i="26"/>
  <c r="R44" i="26"/>
  <c r="Q44" i="26"/>
  <c r="O44" i="26"/>
  <c r="P44" i="26" s="1"/>
  <c r="Z43" i="26"/>
  <c r="X43" i="26"/>
  <c r="V43" i="26"/>
  <c r="W43" i="26" s="1"/>
  <c r="S43" i="26"/>
  <c r="Q43" i="26"/>
  <c r="P43" i="26"/>
  <c r="O43" i="26"/>
  <c r="Z42" i="26"/>
  <c r="Y42" i="26"/>
  <c r="X42" i="26"/>
  <c r="V42" i="26"/>
  <c r="W42" i="26" s="1"/>
  <c r="S42" i="26"/>
  <c r="R42" i="26"/>
  <c r="Q42" i="26"/>
  <c r="O42" i="26"/>
  <c r="P42" i="26" s="1"/>
  <c r="Z41" i="26"/>
  <c r="Y41" i="26"/>
  <c r="X41" i="26"/>
  <c r="V41" i="26"/>
  <c r="W41" i="26" s="1"/>
  <c r="S41" i="26"/>
  <c r="R41" i="26"/>
  <c r="Q41" i="26"/>
  <c r="P41" i="26"/>
  <c r="O41" i="26"/>
  <c r="Z40" i="26"/>
  <c r="X40" i="26"/>
  <c r="V40" i="26"/>
  <c r="W40" i="26" s="1"/>
  <c r="S40" i="26"/>
  <c r="Q40" i="26"/>
  <c r="R40" i="26" s="1"/>
  <c r="O40" i="26"/>
  <c r="P40" i="26" s="1"/>
  <c r="Z39" i="26"/>
  <c r="Y39" i="26"/>
  <c r="X39" i="26"/>
  <c r="V39" i="26"/>
  <c r="W39" i="26" s="1"/>
  <c r="S39" i="26"/>
  <c r="R39" i="26"/>
  <c r="Q39" i="26"/>
  <c r="O39" i="26"/>
  <c r="P39" i="26" s="1"/>
  <c r="Z38" i="26"/>
  <c r="Y38" i="26"/>
  <c r="X38" i="26"/>
  <c r="V38" i="26"/>
  <c r="W38" i="26" s="1"/>
  <c r="S38" i="26"/>
  <c r="R38" i="26"/>
  <c r="Q38" i="26"/>
  <c r="O38" i="26"/>
  <c r="P38" i="26" s="1"/>
  <c r="Z37" i="26"/>
  <c r="X37" i="26"/>
  <c r="V37" i="26"/>
  <c r="W37" i="26" s="1"/>
  <c r="S37" i="26"/>
  <c r="Q37" i="26"/>
  <c r="P37" i="26"/>
  <c r="O37" i="26"/>
  <c r="Z36" i="26"/>
  <c r="Y36" i="26"/>
  <c r="X36" i="26"/>
  <c r="V36" i="26"/>
  <c r="W36" i="26" s="1"/>
  <c r="S36" i="26"/>
  <c r="R36" i="26"/>
  <c r="Q36" i="26"/>
  <c r="O36" i="26"/>
  <c r="P36" i="26" s="1"/>
  <c r="Z35" i="26"/>
  <c r="Y35" i="26"/>
  <c r="X35" i="26"/>
  <c r="V35" i="26"/>
  <c r="W35" i="26" s="1"/>
  <c r="S35" i="26"/>
  <c r="R35" i="26"/>
  <c r="Q35" i="26"/>
  <c r="P35" i="26"/>
  <c r="O35" i="26"/>
  <c r="Z34" i="26"/>
  <c r="X34" i="26"/>
  <c r="V34" i="26"/>
  <c r="W34" i="26" s="1"/>
  <c r="S34" i="26"/>
  <c r="Q34" i="26"/>
  <c r="R34" i="26" s="1"/>
  <c r="O34" i="26"/>
  <c r="P34" i="26" s="1"/>
  <c r="Z33" i="26"/>
  <c r="Y33" i="26"/>
  <c r="X33" i="26"/>
  <c r="V33" i="26"/>
  <c r="W33" i="26" s="1"/>
  <c r="S33" i="26"/>
  <c r="R33" i="26"/>
  <c r="Q33" i="26"/>
  <c r="O33" i="26"/>
  <c r="P33" i="26" s="1"/>
  <c r="Z32" i="26"/>
  <c r="Y32" i="26"/>
  <c r="X32" i="26"/>
  <c r="V32" i="26"/>
  <c r="W32" i="26" s="1"/>
  <c r="S32" i="26"/>
  <c r="R32" i="26"/>
  <c r="Q32" i="26"/>
  <c r="O32" i="26"/>
  <c r="P32" i="26" s="1"/>
  <c r="Z31" i="26"/>
  <c r="X31" i="26"/>
  <c r="V31" i="26"/>
  <c r="W31" i="26" s="1"/>
  <c r="S31" i="26"/>
  <c r="Q31" i="26"/>
  <c r="P31" i="26"/>
  <c r="O31" i="26"/>
  <c r="Z30" i="26"/>
  <c r="Y30" i="26"/>
  <c r="X30" i="26"/>
  <c r="V30" i="26"/>
  <c r="W30" i="26" s="1"/>
  <c r="S30" i="26"/>
  <c r="R30" i="26"/>
  <c r="Q30" i="26"/>
  <c r="O30" i="26"/>
  <c r="P30" i="26" s="1"/>
  <c r="Z29" i="26"/>
  <c r="Y29" i="26"/>
  <c r="X29" i="26"/>
  <c r="V29" i="26"/>
  <c r="W29" i="26" s="1"/>
  <c r="S29" i="26"/>
  <c r="R29" i="26"/>
  <c r="Q29" i="26"/>
  <c r="O29" i="26"/>
  <c r="P29" i="26" s="1"/>
  <c r="Z28" i="26"/>
  <c r="X28" i="26"/>
  <c r="V28" i="26"/>
  <c r="W28" i="26" s="1"/>
  <c r="S28" i="26"/>
  <c r="Q28" i="26"/>
  <c r="R28" i="26" s="1"/>
  <c r="O28" i="26"/>
  <c r="P28" i="26" s="1"/>
  <c r="Z27" i="26"/>
  <c r="Y27" i="26"/>
  <c r="X27" i="26"/>
  <c r="V27" i="26"/>
  <c r="W27" i="26" s="1"/>
  <c r="S27" i="26"/>
  <c r="R27" i="26"/>
  <c r="Q27" i="26"/>
  <c r="O27" i="26"/>
  <c r="P27" i="26" s="1"/>
  <c r="Z26" i="26"/>
  <c r="Y26" i="26"/>
  <c r="X26" i="26"/>
  <c r="V26" i="26"/>
  <c r="W26" i="26" s="1"/>
  <c r="S26" i="26"/>
  <c r="R26" i="26"/>
  <c r="Q26" i="26"/>
  <c r="O26" i="26"/>
  <c r="P26" i="26" s="1"/>
  <c r="Z25" i="26"/>
  <c r="X25" i="26"/>
  <c r="Y25" i="26" s="1"/>
  <c r="V25" i="26"/>
  <c r="W25" i="26" s="1"/>
  <c r="S25" i="26"/>
  <c r="Q25" i="26"/>
  <c r="P25" i="26"/>
  <c r="O25" i="26"/>
  <c r="Z24" i="26"/>
  <c r="Y24" i="26"/>
  <c r="X24" i="26"/>
  <c r="V24" i="26"/>
  <c r="W24" i="26" s="1"/>
  <c r="S24" i="26"/>
  <c r="R24" i="26"/>
  <c r="Q24" i="26"/>
  <c r="O24" i="26"/>
  <c r="P24" i="26" s="1"/>
  <c r="Z23" i="26"/>
  <c r="Y23" i="26"/>
  <c r="X23" i="26"/>
  <c r="V23" i="26"/>
  <c r="W23" i="26" s="1"/>
  <c r="S23" i="26"/>
  <c r="R23" i="26"/>
  <c r="Q23" i="26"/>
  <c r="P23" i="26"/>
  <c r="O23" i="26"/>
  <c r="Z22" i="26"/>
  <c r="X22" i="26"/>
  <c r="Y22" i="26" s="1"/>
  <c r="V22" i="26"/>
  <c r="W22" i="26" s="1"/>
  <c r="S22" i="26"/>
  <c r="Q22" i="26"/>
  <c r="O22" i="26"/>
  <c r="P22" i="26" s="1"/>
  <c r="Z21" i="26"/>
  <c r="Y21" i="26"/>
  <c r="X21" i="26"/>
  <c r="V21" i="26"/>
  <c r="W21" i="26" s="1"/>
  <c r="S21" i="26"/>
  <c r="R21" i="26"/>
  <c r="Q21" i="26"/>
  <c r="O21" i="26"/>
  <c r="P21" i="26" s="1"/>
  <c r="Z20" i="26"/>
  <c r="Y20" i="26"/>
  <c r="X20" i="26"/>
  <c r="V20" i="26"/>
  <c r="W20" i="26" s="1"/>
  <c r="S20" i="26"/>
  <c r="R20" i="26"/>
  <c r="Q20" i="26"/>
  <c r="O20" i="26"/>
  <c r="P20" i="26" s="1"/>
  <c r="Z19" i="26"/>
  <c r="X19" i="26"/>
  <c r="V19" i="26"/>
  <c r="W19" i="26" s="1"/>
  <c r="S19" i="26"/>
  <c r="Q19" i="26"/>
  <c r="R19" i="26" s="1"/>
  <c r="P19" i="26"/>
  <c r="O19" i="26"/>
  <c r="Z18" i="26"/>
  <c r="Y18" i="26"/>
  <c r="X18" i="26"/>
  <c r="V18" i="26"/>
  <c r="W18" i="26" s="1"/>
  <c r="S18" i="26"/>
  <c r="R18" i="26"/>
  <c r="Q18" i="26"/>
  <c r="O18" i="26"/>
  <c r="P18" i="26" s="1"/>
  <c r="Z17" i="26"/>
  <c r="Y17" i="26"/>
  <c r="X17" i="26"/>
  <c r="V17" i="26"/>
  <c r="W17" i="26" s="1"/>
  <c r="S17" i="26"/>
  <c r="R17" i="26"/>
  <c r="Q17" i="26"/>
  <c r="O17" i="26"/>
  <c r="P17" i="26" s="1"/>
  <c r="Z16" i="26"/>
  <c r="X16" i="26"/>
  <c r="V16" i="26"/>
  <c r="W16" i="26" s="1"/>
  <c r="S16" i="26"/>
  <c r="Q16" i="26"/>
  <c r="R16" i="26" s="1"/>
  <c r="O16" i="26"/>
  <c r="P16" i="26" s="1"/>
  <c r="Z15" i="26"/>
  <c r="Y15" i="26"/>
  <c r="X15" i="26"/>
  <c r="V15" i="26"/>
  <c r="W15" i="26" s="1"/>
  <c r="S15" i="26"/>
  <c r="R15" i="26"/>
  <c r="Q15" i="26"/>
  <c r="O15" i="26"/>
  <c r="P15" i="26" s="1"/>
  <c r="Z14" i="26"/>
  <c r="Y14" i="26"/>
  <c r="X14" i="26"/>
  <c r="V14" i="26"/>
  <c r="W14" i="26" s="1"/>
  <c r="S14" i="26"/>
  <c r="R14" i="26"/>
  <c r="Q14" i="26"/>
  <c r="O14" i="26"/>
  <c r="P14" i="26" s="1"/>
  <c r="Z13" i="26"/>
  <c r="X13" i="26"/>
  <c r="Y13" i="26" s="1"/>
  <c r="V13" i="26"/>
  <c r="W13" i="26" s="1"/>
  <c r="S13" i="26"/>
  <c r="Q13" i="26"/>
  <c r="P13" i="26"/>
  <c r="O13" i="26"/>
  <c r="Z12" i="26"/>
  <c r="Y12" i="26"/>
  <c r="X12" i="26"/>
  <c r="V12" i="26"/>
  <c r="W12" i="26" s="1"/>
  <c r="S12" i="26"/>
  <c r="R12" i="26"/>
  <c r="Q12" i="26"/>
  <c r="O12" i="26"/>
  <c r="P12" i="26" s="1"/>
  <c r="Z11" i="26"/>
  <c r="Y11" i="26"/>
  <c r="X11" i="26"/>
  <c r="V11" i="26"/>
  <c r="W11" i="26" s="1"/>
  <c r="S11" i="26"/>
  <c r="R11" i="26"/>
  <c r="Q11" i="26"/>
  <c r="P11" i="26"/>
  <c r="O11" i="26"/>
  <c r="Z10" i="26"/>
  <c r="X10" i="26"/>
  <c r="Y10" i="26" s="1"/>
  <c r="V10" i="26"/>
  <c r="W10" i="26" s="1"/>
  <c r="S10" i="26"/>
  <c r="Q10" i="26"/>
  <c r="O10" i="26"/>
  <c r="P10" i="26" s="1"/>
  <c r="Z9" i="26"/>
  <c r="Y9" i="26"/>
  <c r="X9" i="26"/>
  <c r="V9" i="26"/>
  <c r="W9" i="26" s="1"/>
  <c r="S9" i="26"/>
  <c r="R9" i="26"/>
  <c r="Q9" i="26"/>
  <c r="O9" i="26"/>
  <c r="P9" i="26" s="1"/>
  <c r="Z8" i="26"/>
  <c r="Y8" i="26"/>
  <c r="X8" i="26"/>
  <c r="V8" i="26"/>
  <c r="W8" i="26" s="1"/>
  <c r="S8" i="26"/>
  <c r="R8" i="26"/>
  <c r="Q8" i="26"/>
  <c r="O8" i="26"/>
  <c r="P8" i="26" s="1"/>
  <c r="Z7" i="26"/>
  <c r="X7" i="26"/>
  <c r="V7" i="26"/>
  <c r="W7" i="26" s="1"/>
  <c r="S7" i="26"/>
  <c r="Q7" i="26"/>
  <c r="R7" i="26" s="1"/>
  <c r="P7" i="26"/>
  <c r="O7" i="26"/>
  <c r="Y6" i="26"/>
  <c r="R6" i="26"/>
  <c r="Y5" i="26"/>
  <c r="R5" i="26"/>
  <c r="A2" i="15" a="1"/>
  <c r="A2" i="15" s="1"/>
  <c r="K2" i="19" a="1"/>
  <c r="K2" i="19" s="1"/>
  <c r="I2" i="19" a="1"/>
  <c r="I2" i="19" s="1"/>
  <c r="G2" i="19" a="1"/>
  <c r="G2" i="19" s="1"/>
  <c r="E2" i="19" a="1"/>
  <c r="E2" i="19" s="1"/>
  <c r="C2" i="19" a="1"/>
  <c r="C2" i="19" s="1"/>
  <c r="T2" i="19" s="1" a="1"/>
  <c r="A2" i="19" a="1"/>
  <c r="A2" i="19" s="1"/>
  <c r="K2" i="23" a="1"/>
  <c r="K2" i="23" s="1"/>
  <c r="I2" i="23" a="1"/>
  <c r="I2" i="23" s="1"/>
  <c r="G2" i="23" a="1"/>
  <c r="G2" i="23" s="1"/>
  <c r="E2" i="23" a="1"/>
  <c r="E2" i="23" s="1"/>
  <c r="C2" i="23" a="1"/>
  <c r="C2" i="23" s="1"/>
  <c r="A2" i="23" a="1"/>
  <c r="A2" i="23" s="1"/>
  <c r="AB2" i="23" s="1" a="1"/>
  <c r="AB2" i="23" s="1"/>
  <c r="K2" i="21" a="1"/>
  <c r="K2" i="21" s="1"/>
  <c r="I2" i="21" a="1"/>
  <c r="I2" i="21" s="1"/>
  <c r="G2" i="21" a="1"/>
  <c r="G2" i="21" s="1"/>
  <c r="E2" i="21" a="1"/>
  <c r="E2" i="21" s="1"/>
  <c r="C2" i="21" a="1"/>
  <c r="C2" i="21" s="1"/>
  <c r="A2" i="21" a="1"/>
  <c r="A2" i="21" s="1"/>
  <c r="F11" i="14" a="1"/>
  <c r="F11" i="14" s="1"/>
  <c r="V120" i="23"/>
  <c r="O120" i="23"/>
  <c r="V119" i="23"/>
  <c r="O119" i="23"/>
  <c r="V118" i="23"/>
  <c r="O118" i="23"/>
  <c r="V117" i="23"/>
  <c r="O117" i="23"/>
  <c r="V116" i="23"/>
  <c r="O116" i="23"/>
  <c r="V115" i="23"/>
  <c r="O115" i="23"/>
  <c r="V114" i="23"/>
  <c r="O114" i="23"/>
  <c r="V113" i="23"/>
  <c r="O113" i="23"/>
  <c r="V112" i="23"/>
  <c r="O112" i="23"/>
  <c r="V111" i="23"/>
  <c r="O111" i="23"/>
  <c r="V110" i="23"/>
  <c r="O110" i="23"/>
  <c r="V109" i="23"/>
  <c r="O109" i="23"/>
  <c r="V108" i="23"/>
  <c r="O108" i="23"/>
  <c r="V107" i="23"/>
  <c r="O107" i="23"/>
  <c r="V106" i="23"/>
  <c r="O106" i="23"/>
  <c r="V105" i="23"/>
  <c r="O105" i="23"/>
  <c r="V104" i="23"/>
  <c r="O104" i="23"/>
  <c r="V103" i="23"/>
  <c r="O103" i="23"/>
  <c r="V102" i="23"/>
  <c r="O102" i="23"/>
  <c r="V101" i="23"/>
  <c r="O101" i="23"/>
  <c r="V100" i="23"/>
  <c r="O100" i="23"/>
  <c r="V99" i="23"/>
  <c r="O99" i="23"/>
  <c r="V98" i="23"/>
  <c r="O98" i="23"/>
  <c r="V97" i="23"/>
  <c r="O97" i="23"/>
  <c r="V96" i="23"/>
  <c r="O96" i="23"/>
  <c r="V95" i="23"/>
  <c r="O95" i="23"/>
  <c r="V94" i="23"/>
  <c r="O94" i="23"/>
  <c r="V93" i="23"/>
  <c r="O93" i="23"/>
  <c r="V92" i="23"/>
  <c r="O92" i="23"/>
  <c r="V91" i="23"/>
  <c r="O91" i="23"/>
  <c r="V90" i="23"/>
  <c r="O90" i="23"/>
  <c r="V89" i="23"/>
  <c r="O89" i="23"/>
  <c r="V88" i="23"/>
  <c r="O88" i="23"/>
  <c r="V87" i="23"/>
  <c r="O87" i="23"/>
  <c r="V86" i="23"/>
  <c r="O86" i="23"/>
  <c r="V85" i="23"/>
  <c r="O85" i="23"/>
  <c r="V84" i="23"/>
  <c r="O84" i="23"/>
  <c r="V83" i="23"/>
  <c r="O83" i="23"/>
  <c r="V82" i="23"/>
  <c r="O82" i="23"/>
  <c r="V81" i="23"/>
  <c r="O81" i="23"/>
  <c r="V80" i="23"/>
  <c r="O80" i="23"/>
  <c r="V79" i="23"/>
  <c r="O79" i="23"/>
  <c r="V78" i="23"/>
  <c r="O78" i="23"/>
  <c r="V77" i="23"/>
  <c r="O77" i="23"/>
  <c r="V76" i="23"/>
  <c r="O76" i="23"/>
  <c r="V75" i="23"/>
  <c r="O75" i="23"/>
  <c r="V74" i="23"/>
  <c r="O74" i="23"/>
  <c r="V73" i="23"/>
  <c r="O73" i="23"/>
  <c r="V72" i="23"/>
  <c r="O72" i="23"/>
  <c r="V71" i="23"/>
  <c r="O71" i="23"/>
  <c r="V70" i="23"/>
  <c r="O70" i="23"/>
  <c r="V69" i="23"/>
  <c r="O69" i="23"/>
  <c r="V68" i="23"/>
  <c r="O68" i="23"/>
  <c r="V67" i="23"/>
  <c r="O67" i="23"/>
  <c r="V66" i="23"/>
  <c r="O66" i="23"/>
  <c r="V65" i="23"/>
  <c r="O65" i="23"/>
  <c r="V64" i="23"/>
  <c r="O64" i="23"/>
  <c r="V63" i="23"/>
  <c r="O63" i="23"/>
  <c r="V62" i="23"/>
  <c r="O62" i="23"/>
  <c r="V61" i="23"/>
  <c r="O61" i="23"/>
  <c r="Z60" i="23"/>
  <c r="Y60" i="23"/>
  <c r="X60" i="23"/>
  <c r="V60" i="23"/>
  <c r="W60" i="23" s="1"/>
  <c r="S60" i="23"/>
  <c r="R60" i="23"/>
  <c r="Q60" i="23"/>
  <c r="O60" i="23"/>
  <c r="P60" i="23" s="1"/>
  <c r="Z59" i="23"/>
  <c r="Y59" i="23"/>
  <c r="X59" i="23"/>
  <c r="V59" i="23"/>
  <c r="W59" i="23" s="1"/>
  <c r="S59" i="23"/>
  <c r="R59" i="23"/>
  <c r="Q59" i="23"/>
  <c r="O59" i="23"/>
  <c r="P59" i="23" s="1"/>
  <c r="Z58" i="23"/>
  <c r="X58" i="23"/>
  <c r="V58" i="23"/>
  <c r="W58" i="23" s="1"/>
  <c r="S58" i="23"/>
  <c r="Q58" i="23"/>
  <c r="O58" i="23"/>
  <c r="P58" i="23" s="1"/>
  <c r="Z57" i="23"/>
  <c r="Y57" i="23"/>
  <c r="X57" i="23"/>
  <c r="V57" i="23"/>
  <c r="W57" i="23" s="1"/>
  <c r="S57" i="23"/>
  <c r="R57" i="23"/>
  <c r="Q57" i="23"/>
  <c r="O57" i="23"/>
  <c r="P57" i="23" s="1"/>
  <c r="Z56" i="23"/>
  <c r="Y56" i="23"/>
  <c r="X56" i="23"/>
  <c r="V56" i="23"/>
  <c r="W56" i="23" s="1"/>
  <c r="S56" i="23"/>
  <c r="R56" i="23"/>
  <c r="Q56" i="23"/>
  <c r="O56" i="23"/>
  <c r="P56" i="23" s="1"/>
  <c r="Z55" i="23"/>
  <c r="X55" i="23"/>
  <c r="Y55" i="23" s="1"/>
  <c r="V55" i="23"/>
  <c r="W55" i="23" s="1"/>
  <c r="S55" i="23"/>
  <c r="Q55" i="23"/>
  <c r="O55" i="23"/>
  <c r="P55" i="23" s="1"/>
  <c r="Z54" i="23"/>
  <c r="Y54" i="23"/>
  <c r="X54" i="23"/>
  <c r="V54" i="23"/>
  <c r="W54" i="23" s="1"/>
  <c r="S54" i="23"/>
  <c r="R54" i="23"/>
  <c r="Q54" i="23"/>
  <c r="O54" i="23"/>
  <c r="P54" i="23" s="1"/>
  <c r="Z53" i="23"/>
  <c r="Y53" i="23"/>
  <c r="X53" i="23"/>
  <c r="V53" i="23"/>
  <c r="W53" i="23" s="1"/>
  <c r="S53" i="23"/>
  <c r="R53" i="23"/>
  <c r="Q53" i="23"/>
  <c r="O53" i="23"/>
  <c r="P53" i="23" s="1"/>
  <c r="Z52" i="23"/>
  <c r="X52" i="23"/>
  <c r="V52" i="23"/>
  <c r="W52" i="23" s="1"/>
  <c r="S52" i="23"/>
  <c r="Q52" i="23"/>
  <c r="O52" i="23"/>
  <c r="P52" i="23" s="1"/>
  <c r="Z51" i="23"/>
  <c r="Y51" i="23"/>
  <c r="X51" i="23"/>
  <c r="V51" i="23"/>
  <c r="W51" i="23" s="1"/>
  <c r="S51" i="23"/>
  <c r="R51" i="23"/>
  <c r="Q51" i="23"/>
  <c r="O51" i="23"/>
  <c r="P51" i="23" s="1"/>
  <c r="Z50" i="23"/>
  <c r="Y50" i="23"/>
  <c r="X50" i="23"/>
  <c r="V50" i="23"/>
  <c r="W50" i="23" s="1"/>
  <c r="S50" i="23"/>
  <c r="R50" i="23"/>
  <c r="Q50" i="23"/>
  <c r="O50" i="23"/>
  <c r="P50" i="23" s="1"/>
  <c r="Z49" i="23"/>
  <c r="X49" i="23"/>
  <c r="Y49" i="23" s="1"/>
  <c r="V49" i="23"/>
  <c r="W49" i="23" s="1"/>
  <c r="S49" i="23"/>
  <c r="Q49" i="23"/>
  <c r="O49" i="23"/>
  <c r="P49" i="23" s="1"/>
  <c r="Z48" i="23"/>
  <c r="Y48" i="23"/>
  <c r="X48" i="23"/>
  <c r="V48" i="23"/>
  <c r="W48" i="23" s="1"/>
  <c r="S48" i="23"/>
  <c r="R48" i="23"/>
  <c r="Q48" i="23"/>
  <c r="O48" i="23"/>
  <c r="P48" i="23" s="1"/>
  <c r="Z47" i="23"/>
  <c r="Y47" i="23"/>
  <c r="X47" i="23"/>
  <c r="V47" i="23"/>
  <c r="W47" i="23" s="1"/>
  <c r="S47" i="23"/>
  <c r="R47" i="23"/>
  <c r="Q47" i="23"/>
  <c r="O47" i="23"/>
  <c r="P47" i="23" s="1"/>
  <c r="Z46" i="23"/>
  <c r="X46" i="23"/>
  <c r="V46" i="23"/>
  <c r="W46" i="23" s="1"/>
  <c r="S46" i="23"/>
  <c r="Q46" i="23"/>
  <c r="O46" i="23"/>
  <c r="P46" i="23" s="1"/>
  <c r="Z45" i="23"/>
  <c r="Y45" i="23"/>
  <c r="X45" i="23"/>
  <c r="V45" i="23"/>
  <c r="W45" i="23" s="1"/>
  <c r="S45" i="23"/>
  <c r="R45" i="23"/>
  <c r="Q45" i="23"/>
  <c r="O45" i="23"/>
  <c r="P45" i="23" s="1"/>
  <c r="Z44" i="23"/>
  <c r="Y44" i="23"/>
  <c r="X44" i="23"/>
  <c r="V44" i="23"/>
  <c r="W44" i="23" s="1"/>
  <c r="S44" i="23"/>
  <c r="R44" i="23"/>
  <c r="Q44" i="23"/>
  <c r="O44" i="23"/>
  <c r="P44" i="23" s="1"/>
  <c r="Z43" i="23"/>
  <c r="X43" i="23"/>
  <c r="Y43" i="23" s="1"/>
  <c r="V43" i="23"/>
  <c r="W43" i="23" s="1"/>
  <c r="S43" i="23"/>
  <c r="Q43" i="23"/>
  <c r="O43" i="23"/>
  <c r="P43" i="23" s="1"/>
  <c r="Z42" i="23"/>
  <c r="Y42" i="23"/>
  <c r="X42" i="23"/>
  <c r="V42" i="23"/>
  <c r="W42" i="23" s="1"/>
  <c r="S42" i="23"/>
  <c r="R42" i="23"/>
  <c r="Q42" i="23"/>
  <c r="O42" i="23"/>
  <c r="P42" i="23" s="1"/>
  <c r="Z41" i="23"/>
  <c r="Y41" i="23"/>
  <c r="X41" i="23"/>
  <c r="V41" i="23"/>
  <c r="W41" i="23" s="1"/>
  <c r="S41" i="23"/>
  <c r="R41" i="23"/>
  <c r="Q41" i="23"/>
  <c r="O41" i="23"/>
  <c r="P41" i="23" s="1"/>
  <c r="Z40" i="23"/>
  <c r="X40" i="23"/>
  <c r="V40" i="23"/>
  <c r="W40" i="23" s="1"/>
  <c r="S40" i="23"/>
  <c r="Q40" i="23"/>
  <c r="O40" i="23"/>
  <c r="P40" i="23" s="1"/>
  <c r="Z39" i="23"/>
  <c r="Y39" i="23"/>
  <c r="X39" i="23"/>
  <c r="V39" i="23"/>
  <c r="W39" i="23" s="1"/>
  <c r="S39" i="23"/>
  <c r="R39" i="23"/>
  <c r="Q39" i="23"/>
  <c r="O39" i="23"/>
  <c r="P39" i="23" s="1"/>
  <c r="Z38" i="23"/>
  <c r="Y38" i="23"/>
  <c r="X38" i="23"/>
  <c r="V38" i="23"/>
  <c r="W38" i="23" s="1"/>
  <c r="S38" i="23"/>
  <c r="R38" i="23"/>
  <c r="Q38" i="23"/>
  <c r="O38" i="23"/>
  <c r="P38" i="23" s="1"/>
  <c r="Z37" i="23"/>
  <c r="X37" i="23"/>
  <c r="Y37" i="23" s="1"/>
  <c r="V37" i="23"/>
  <c r="W37" i="23" s="1"/>
  <c r="S37" i="23"/>
  <c r="Q37" i="23"/>
  <c r="O37" i="23"/>
  <c r="P37" i="23" s="1"/>
  <c r="Z36" i="23"/>
  <c r="Y36" i="23"/>
  <c r="X36" i="23"/>
  <c r="V36" i="23"/>
  <c r="W36" i="23" s="1"/>
  <c r="S36" i="23"/>
  <c r="R36" i="23"/>
  <c r="Q36" i="23"/>
  <c r="O36" i="23"/>
  <c r="P36" i="23" s="1"/>
  <c r="Z35" i="23"/>
  <c r="Y35" i="23"/>
  <c r="X35" i="23"/>
  <c r="V35" i="23"/>
  <c r="W35" i="23" s="1"/>
  <c r="S35" i="23"/>
  <c r="R35" i="23"/>
  <c r="Q35" i="23"/>
  <c r="O35" i="23"/>
  <c r="P35" i="23" s="1"/>
  <c r="Z34" i="23"/>
  <c r="X34" i="23"/>
  <c r="V34" i="23"/>
  <c r="W34" i="23" s="1"/>
  <c r="S34" i="23"/>
  <c r="Q34" i="23"/>
  <c r="O34" i="23"/>
  <c r="P34" i="23" s="1"/>
  <c r="Z33" i="23"/>
  <c r="Y33" i="23"/>
  <c r="X33" i="23"/>
  <c r="V33" i="23"/>
  <c r="W33" i="23" s="1"/>
  <c r="S33" i="23"/>
  <c r="R33" i="23"/>
  <c r="Q33" i="23"/>
  <c r="O33" i="23"/>
  <c r="P33" i="23" s="1"/>
  <c r="Z32" i="23"/>
  <c r="Y32" i="23"/>
  <c r="X32" i="23"/>
  <c r="V32" i="23"/>
  <c r="W32" i="23" s="1"/>
  <c r="S32" i="23"/>
  <c r="R32" i="23"/>
  <c r="Q32" i="23"/>
  <c r="O32" i="23"/>
  <c r="P32" i="23" s="1"/>
  <c r="Z31" i="23"/>
  <c r="X31" i="23"/>
  <c r="Y31" i="23" s="1"/>
  <c r="V31" i="23"/>
  <c r="W31" i="23" s="1"/>
  <c r="S31" i="23"/>
  <c r="Q31" i="23"/>
  <c r="O31" i="23"/>
  <c r="P31" i="23" s="1"/>
  <c r="Z30" i="23"/>
  <c r="Y30" i="23"/>
  <c r="X30" i="23"/>
  <c r="V30" i="23"/>
  <c r="W30" i="23" s="1"/>
  <c r="S30" i="23"/>
  <c r="R30" i="23"/>
  <c r="Q30" i="23"/>
  <c r="O30" i="23"/>
  <c r="P30" i="23" s="1"/>
  <c r="Z29" i="23"/>
  <c r="Y29" i="23"/>
  <c r="X29" i="23"/>
  <c r="V29" i="23"/>
  <c r="W29" i="23" s="1"/>
  <c r="S29" i="23"/>
  <c r="R29" i="23"/>
  <c r="Q29" i="23"/>
  <c r="O29" i="23"/>
  <c r="P29" i="23" s="1"/>
  <c r="Z28" i="23"/>
  <c r="X28" i="23"/>
  <c r="V28" i="23"/>
  <c r="W28" i="23" s="1"/>
  <c r="S28" i="23"/>
  <c r="Q28" i="23"/>
  <c r="O28" i="23"/>
  <c r="P28" i="23" s="1"/>
  <c r="Z27" i="23"/>
  <c r="Y27" i="23"/>
  <c r="X27" i="23"/>
  <c r="V27" i="23"/>
  <c r="W27" i="23" s="1"/>
  <c r="S27" i="23"/>
  <c r="R27" i="23"/>
  <c r="Q27" i="23"/>
  <c r="O27" i="23"/>
  <c r="P27" i="23" s="1"/>
  <c r="Z26" i="23"/>
  <c r="Y26" i="23"/>
  <c r="X26" i="23"/>
  <c r="V26" i="23"/>
  <c r="W26" i="23" s="1"/>
  <c r="S26" i="23"/>
  <c r="R26" i="23"/>
  <c r="Q26" i="23"/>
  <c r="O26" i="23"/>
  <c r="P26" i="23" s="1"/>
  <c r="Z25" i="23"/>
  <c r="X25" i="23"/>
  <c r="Y25" i="23" s="1"/>
  <c r="V25" i="23"/>
  <c r="W25" i="23" s="1"/>
  <c r="S25" i="23"/>
  <c r="Q25" i="23"/>
  <c r="O25" i="23"/>
  <c r="P25" i="23" s="1"/>
  <c r="Z24" i="23"/>
  <c r="Y24" i="23"/>
  <c r="X24" i="23"/>
  <c r="V24" i="23"/>
  <c r="W24" i="23" s="1"/>
  <c r="S24" i="23"/>
  <c r="R24" i="23"/>
  <c r="Q24" i="23"/>
  <c r="O24" i="23"/>
  <c r="P24" i="23" s="1"/>
  <c r="Z23" i="23"/>
  <c r="Y23" i="23"/>
  <c r="X23" i="23"/>
  <c r="V23" i="23"/>
  <c r="W23" i="23" s="1"/>
  <c r="S23" i="23"/>
  <c r="R23" i="23"/>
  <c r="Q23" i="23"/>
  <c r="O23" i="23"/>
  <c r="P23" i="23" s="1"/>
  <c r="Z22" i="23"/>
  <c r="X22" i="23"/>
  <c r="V22" i="23"/>
  <c r="W22" i="23" s="1"/>
  <c r="S22" i="23"/>
  <c r="Q22" i="23"/>
  <c r="R22" i="23" s="1"/>
  <c r="O22" i="23"/>
  <c r="P22" i="23" s="1"/>
  <c r="Z21" i="23"/>
  <c r="Y21" i="23"/>
  <c r="X21" i="23"/>
  <c r="V21" i="23"/>
  <c r="W21" i="23" s="1"/>
  <c r="S21" i="23"/>
  <c r="R21" i="23"/>
  <c r="Q21" i="23"/>
  <c r="O21" i="23"/>
  <c r="P21" i="23" s="1"/>
  <c r="Z20" i="23"/>
  <c r="Y20" i="23"/>
  <c r="X20" i="23"/>
  <c r="V20" i="23"/>
  <c r="W20" i="23" s="1"/>
  <c r="S20" i="23"/>
  <c r="R20" i="23"/>
  <c r="Q20" i="23"/>
  <c r="O20" i="23"/>
  <c r="P20" i="23" s="1"/>
  <c r="Z19" i="23"/>
  <c r="X19" i="23"/>
  <c r="Y19" i="23" s="1"/>
  <c r="V19" i="23"/>
  <c r="W19" i="23" s="1"/>
  <c r="S19" i="23"/>
  <c r="Q19" i="23"/>
  <c r="O19" i="23"/>
  <c r="P19" i="23" s="1"/>
  <c r="Z18" i="23"/>
  <c r="Y18" i="23"/>
  <c r="X18" i="23"/>
  <c r="V18" i="23"/>
  <c r="W18" i="23" s="1"/>
  <c r="S18" i="23"/>
  <c r="R18" i="23"/>
  <c r="Q18" i="23"/>
  <c r="O18" i="23"/>
  <c r="P18" i="23" s="1"/>
  <c r="Z17" i="23"/>
  <c r="Y17" i="23"/>
  <c r="X17" i="23"/>
  <c r="V17" i="23"/>
  <c r="W17" i="23" s="1"/>
  <c r="S17" i="23"/>
  <c r="R17" i="23"/>
  <c r="Q17" i="23"/>
  <c r="O17" i="23"/>
  <c r="P17" i="23" s="1"/>
  <c r="Z16" i="23"/>
  <c r="X16" i="23"/>
  <c r="V16" i="23"/>
  <c r="W16" i="23" s="1"/>
  <c r="S16" i="23"/>
  <c r="Q16" i="23"/>
  <c r="R16" i="23" s="1"/>
  <c r="O16" i="23"/>
  <c r="P16" i="23" s="1"/>
  <c r="Z15" i="23"/>
  <c r="Y15" i="23"/>
  <c r="X15" i="23"/>
  <c r="V15" i="23"/>
  <c r="W15" i="23" s="1"/>
  <c r="S15" i="23"/>
  <c r="R15" i="23"/>
  <c r="Q15" i="23"/>
  <c r="O15" i="23"/>
  <c r="P15" i="23" s="1"/>
  <c r="Z14" i="23"/>
  <c r="Y14" i="23"/>
  <c r="X14" i="23"/>
  <c r="V14" i="23"/>
  <c r="W14" i="23" s="1"/>
  <c r="S14" i="23"/>
  <c r="R14" i="23"/>
  <c r="Q14" i="23"/>
  <c r="O14" i="23"/>
  <c r="P14" i="23" s="1"/>
  <c r="Y12" i="23"/>
  <c r="R12" i="23"/>
  <c r="Y11" i="23"/>
  <c r="R11" i="23"/>
  <c r="Y9" i="23"/>
  <c r="R9" i="23"/>
  <c r="Y8" i="23"/>
  <c r="R8" i="23"/>
  <c r="Y6" i="23"/>
  <c r="R6" i="23"/>
  <c r="Y5" i="23"/>
  <c r="R5" i="23"/>
  <c r="V120" i="21"/>
  <c r="O120" i="21"/>
  <c r="V119" i="21"/>
  <c r="O119" i="21"/>
  <c r="V118" i="21"/>
  <c r="O118" i="21"/>
  <c r="V117" i="21"/>
  <c r="O117" i="21"/>
  <c r="V116" i="21"/>
  <c r="O116" i="21"/>
  <c r="V115" i="21"/>
  <c r="O115" i="21"/>
  <c r="V114" i="21"/>
  <c r="O114" i="21"/>
  <c r="V113" i="21"/>
  <c r="O113" i="21"/>
  <c r="V112" i="21"/>
  <c r="O112" i="21"/>
  <c r="V111" i="21"/>
  <c r="O111" i="21"/>
  <c r="V110" i="21"/>
  <c r="O110" i="21"/>
  <c r="V109" i="21"/>
  <c r="O109" i="21"/>
  <c r="V108" i="21"/>
  <c r="O108" i="21"/>
  <c r="V107" i="21"/>
  <c r="O107" i="21"/>
  <c r="V106" i="21"/>
  <c r="O106" i="21"/>
  <c r="V105" i="21"/>
  <c r="O105" i="21"/>
  <c r="V104" i="21"/>
  <c r="O104" i="21"/>
  <c r="V103" i="21"/>
  <c r="O103" i="21"/>
  <c r="V102" i="21"/>
  <c r="O102" i="21"/>
  <c r="V101" i="21"/>
  <c r="O101" i="21"/>
  <c r="V100" i="21"/>
  <c r="O100" i="21"/>
  <c r="V99" i="21"/>
  <c r="O99" i="21"/>
  <c r="V98" i="21"/>
  <c r="O98" i="21"/>
  <c r="V97" i="21"/>
  <c r="O97" i="21"/>
  <c r="V96" i="21"/>
  <c r="O96" i="21"/>
  <c r="V95" i="21"/>
  <c r="O95" i="21"/>
  <c r="V94" i="21"/>
  <c r="O94" i="21"/>
  <c r="V93" i="21"/>
  <c r="O93" i="21"/>
  <c r="V92" i="21"/>
  <c r="O92" i="21"/>
  <c r="V91" i="21"/>
  <c r="O91" i="21"/>
  <c r="V90" i="21"/>
  <c r="O90" i="21"/>
  <c r="V89" i="21"/>
  <c r="O89" i="21"/>
  <c r="V88" i="21"/>
  <c r="O88" i="21"/>
  <c r="V87" i="21"/>
  <c r="O87" i="21"/>
  <c r="V86" i="21"/>
  <c r="O86" i="21"/>
  <c r="V85" i="21"/>
  <c r="O85" i="21"/>
  <c r="V84" i="21"/>
  <c r="O84" i="21"/>
  <c r="V83" i="21"/>
  <c r="O83" i="21"/>
  <c r="V82" i="21"/>
  <c r="O82" i="21"/>
  <c r="V81" i="21"/>
  <c r="O81" i="21"/>
  <c r="V80" i="21"/>
  <c r="O80" i="21"/>
  <c r="V79" i="21"/>
  <c r="O79" i="21"/>
  <c r="V78" i="21"/>
  <c r="O78" i="21"/>
  <c r="V77" i="21"/>
  <c r="O77" i="21"/>
  <c r="V76" i="21"/>
  <c r="O76" i="21"/>
  <c r="V75" i="21"/>
  <c r="O75" i="21"/>
  <c r="V74" i="21"/>
  <c r="O74" i="21"/>
  <c r="V73" i="21"/>
  <c r="O73" i="21"/>
  <c r="V72" i="21"/>
  <c r="O72" i="21"/>
  <c r="V71" i="21"/>
  <c r="O71" i="21"/>
  <c r="V70" i="21"/>
  <c r="O70" i="21"/>
  <c r="V69" i="21"/>
  <c r="O69" i="21"/>
  <c r="V68" i="21"/>
  <c r="O68" i="21"/>
  <c r="V67" i="21"/>
  <c r="O67" i="21"/>
  <c r="V66" i="21"/>
  <c r="O66" i="21"/>
  <c r="V65" i="21"/>
  <c r="O65" i="21"/>
  <c r="V64" i="21"/>
  <c r="O64" i="21"/>
  <c r="V63" i="21"/>
  <c r="O63" i="21"/>
  <c r="V62" i="21"/>
  <c r="O62" i="21"/>
  <c r="V61" i="21"/>
  <c r="O61" i="21"/>
  <c r="Z60" i="21"/>
  <c r="Y60" i="21"/>
  <c r="X60" i="21"/>
  <c r="V60" i="21"/>
  <c r="W60" i="21" s="1"/>
  <c r="S60" i="21"/>
  <c r="R60" i="21"/>
  <c r="Q60" i="21"/>
  <c r="O60" i="21"/>
  <c r="P60" i="21" s="1"/>
  <c r="Z59" i="21"/>
  <c r="Y59" i="21"/>
  <c r="X59" i="21"/>
  <c r="V59" i="21"/>
  <c r="W59" i="21" s="1"/>
  <c r="S59" i="21"/>
  <c r="R59" i="21"/>
  <c r="Q59" i="21"/>
  <c r="O59" i="21"/>
  <c r="P59" i="21" s="1"/>
  <c r="Z58" i="21"/>
  <c r="X58" i="21"/>
  <c r="Y58" i="21" s="1"/>
  <c r="V58" i="21"/>
  <c r="W58" i="21" s="1"/>
  <c r="S58" i="21"/>
  <c r="Q58" i="21"/>
  <c r="O58" i="21"/>
  <c r="P58" i="21" s="1"/>
  <c r="Z57" i="21"/>
  <c r="Y57" i="21"/>
  <c r="X57" i="21"/>
  <c r="V57" i="21"/>
  <c r="W57" i="21" s="1"/>
  <c r="S57" i="21"/>
  <c r="R57" i="21"/>
  <c r="Q57" i="21"/>
  <c r="O57" i="21"/>
  <c r="P57" i="21" s="1"/>
  <c r="Z56" i="21"/>
  <c r="Y56" i="21"/>
  <c r="X56" i="21"/>
  <c r="V56" i="21"/>
  <c r="W56" i="21" s="1"/>
  <c r="S56" i="21"/>
  <c r="R56" i="21"/>
  <c r="Q56" i="21"/>
  <c r="O56" i="21"/>
  <c r="P56" i="21" s="1"/>
  <c r="Z55" i="21"/>
  <c r="X55" i="21"/>
  <c r="V55" i="21"/>
  <c r="W55" i="21" s="1"/>
  <c r="S55" i="21"/>
  <c r="R55" i="21"/>
  <c r="Q55" i="21"/>
  <c r="O55" i="21"/>
  <c r="P55" i="21" s="1"/>
  <c r="Z54" i="21"/>
  <c r="Y54" i="21"/>
  <c r="X54" i="21"/>
  <c r="V54" i="21"/>
  <c r="W54" i="21" s="1"/>
  <c r="S54" i="21"/>
  <c r="R54" i="21"/>
  <c r="Q54" i="21"/>
  <c r="O54" i="21"/>
  <c r="P54" i="21" s="1"/>
  <c r="Z53" i="21"/>
  <c r="Y53" i="21"/>
  <c r="X53" i="21"/>
  <c r="V53" i="21"/>
  <c r="W53" i="21" s="1"/>
  <c r="S53" i="21"/>
  <c r="R53" i="21"/>
  <c r="Q53" i="21"/>
  <c r="O53" i="21"/>
  <c r="P53" i="21" s="1"/>
  <c r="Z52" i="21"/>
  <c r="X52" i="21"/>
  <c r="Y52" i="21" s="1"/>
  <c r="V52" i="21"/>
  <c r="W52" i="21" s="1"/>
  <c r="S52" i="21"/>
  <c r="Q52" i="21"/>
  <c r="O52" i="21"/>
  <c r="P52" i="21" s="1"/>
  <c r="Z51" i="21"/>
  <c r="Y51" i="21"/>
  <c r="X51" i="21"/>
  <c r="V51" i="21"/>
  <c r="W51" i="21" s="1"/>
  <c r="S51" i="21"/>
  <c r="R51" i="21"/>
  <c r="Q51" i="21"/>
  <c r="O51" i="21"/>
  <c r="P51" i="21" s="1"/>
  <c r="Z50" i="21"/>
  <c r="Y50" i="21"/>
  <c r="X50" i="21"/>
  <c r="V50" i="21"/>
  <c r="W50" i="21" s="1"/>
  <c r="S50" i="21"/>
  <c r="R50" i="21"/>
  <c r="Q50" i="21"/>
  <c r="O50" i="21"/>
  <c r="P50" i="21" s="1"/>
  <c r="Z49" i="21"/>
  <c r="X49" i="21"/>
  <c r="V49" i="21"/>
  <c r="W49" i="21" s="1"/>
  <c r="S49" i="21"/>
  <c r="R49" i="21"/>
  <c r="Q49" i="21"/>
  <c r="O49" i="21"/>
  <c r="P49" i="21" s="1"/>
  <c r="Z48" i="21"/>
  <c r="Y48" i="21"/>
  <c r="X48" i="21"/>
  <c r="V48" i="21"/>
  <c r="W48" i="21" s="1"/>
  <c r="S48" i="21"/>
  <c r="R48" i="21"/>
  <c r="Q48" i="21"/>
  <c r="O48" i="21"/>
  <c r="P48" i="21" s="1"/>
  <c r="Z47" i="21"/>
  <c r="Y47" i="21"/>
  <c r="X47" i="21"/>
  <c r="V47" i="21"/>
  <c r="W47" i="21" s="1"/>
  <c r="S47" i="21"/>
  <c r="R47" i="21"/>
  <c r="Q47" i="21"/>
  <c r="O47" i="21"/>
  <c r="P47" i="21" s="1"/>
  <c r="Z46" i="21"/>
  <c r="X46" i="21"/>
  <c r="V46" i="21"/>
  <c r="W46" i="21" s="1"/>
  <c r="S46" i="21"/>
  <c r="Q46" i="21"/>
  <c r="R46" i="21" s="1"/>
  <c r="O46" i="21"/>
  <c r="P46" i="21" s="1"/>
  <c r="Z45" i="21"/>
  <c r="Y45" i="21"/>
  <c r="X45" i="21"/>
  <c r="V45" i="21"/>
  <c r="W45" i="21" s="1"/>
  <c r="S45" i="21"/>
  <c r="R45" i="21"/>
  <c r="Q45" i="21"/>
  <c r="O45" i="21"/>
  <c r="P45" i="21" s="1"/>
  <c r="Z44" i="21"/>
  <c r="Y44" i="21"/>
  <c r="X44" i="21"/>
  <c r="V44" i="21"/>
  <c r="W44" i="21" s="1"/>
  <c r="S44" i="21"/>
  <c r="R44" i="21"/>
  <c r="Q44" i="21"/>
  <c r="O44" i="21"/>
  <c r="P44" i="21" s="1"/>
  <c r="Z43" i="21"/>
  <c r="X43" i="21"/>
  <c r="V43" i="21"/>
  <c r="W43" i="21" s="1"/>
  <c r="S43" i="21"/>
  <c r="Q43" i="21"/>
  <c r="R43" i="21" s="1"/>
  <c r="O43" i="21"/>
  <c r="P43" i="21" s="1"/>
  <c r="Z42" i="21"/>
  <c r="Y42" i="21"/>
  <c r="X42" i="21"/>
  <c r="V42" i="21"/>
  <c r="W42" i="21" s="1"/>
  <c r="S42" i="21"/>
  <c r="R42" i="21"/>
  <c r="Q42" i="21"/>
  <c r="O42" i="21"/>
  <c r="P42" i="21" s="1"/>
  <c r="Z41" i="21"/>
  <c r="Y41" i="21"/>
  <c r="X41" i="21"/>
  <c r="V41" i="21"/>
  <c r="W41" i="21" s="1"/>
  <c r="S41" i="21"/>
  <c r="R41" i="21"/>
  <c r="Q41" i="21"/>
  <c r="O41" i="21"/>
  <c r="P41" i="21" s="1"/>
  <c r="Z40" i="21"/>
  <c r="X40" i="21"/>
  <c r="V40" i="21"/>
  <c r="W40" i="21" s="1"/>
  <c r="S40" i="21"/>
  <c r="Q40" i="21"/>
  <c r="R40" i="21" s="1"/>
  <c r="O40" i="21"/>
  <c r="P40" i="21" s="1"/>
  <c r="Z39" i="21"/>
  <c r="Y39" i="21"/>
  <c r="X39" i="21"/>
  <c r="V39" i="21"/>
  <c r="W39" i="21" s="1"/>
  <c r="S39" i="21"/>
  <c r="R39" i="21"/>
  <c r="Q39" i="21"/>
  <c r="O39" i="21"/>
  <c r="P39" i="21" s="1"/>
  <c r="Z38" i="21"/>
  <c r="Y38" i="21"/>
  <c r="X38" i="21"/>
  <c r="V38" i="21"/>
  <c r="W38" i="21" s="1"/>
  <c r="S38" i="21"/>
  <c r="R38" i="21"/>
  <c r="Q38" i="21"/>
  <c r="O38" i="21"/>
  <c r="P38" i="21" s="1"/>
  <c r="Z37" i="21"/>
  <c r="X37" i="21"/>
  <c r="V37" i="21"/>
  <c r="W37" i="21" s="1"/>
  <c r="S37" i="21"/>
  <c r="Q37" i="21"/>
  <c r="R37" i="21" s="1"/>
  <c r="O37" i="21"/>
  <c r="P37" i="21" s="1"/>
  <c r="Z36" i="21"/>
  <c r="Y36" i="21"/>
  <c r="X36" i="21"/>
  <c r="V36" i="21"/>
  <c r="W36" i="21" s="1"/>
  <c r="S36" i="21"/>
  <c r="R36" i="21"/>
  <c r="Q36" i="21"/>
  <c r="O36" i="21"/>
  <c r="P36" i="21" s="1"/>
  <c r="Z35" i="21"/>
  <c r="Y35" i="21"/>
  <c r="X35" i="21"/>
  <c r="V35" i="21"/>
  <c r="W35" i="21" s="1"/>
  <c r="S35" i="21"/>
  <c r="R35" i="21"/>
  <c r="Q35" i="21"/>
  <c r="O35" i="21"/>
  <c r="P35" i="21" s="1"/>
  <c r="Z34" i="21"/>
  <c r="X34" i="21"/>
  <c r="Y34" i="21" s="1"/>
  <c r="V34" i="21"/>
  <c r="W34" i="21" s="1"/>
  <c r="S34" i="21"/>
  <c r="Q34" i="21"/>
  <c r="O34" i="21"/>
  <c r="P34" i="21" s="1"/>
  <c r="Z33" i="21"/>
  <c r="Y33" i="21"/>
  <c r="X33" i="21"/>
  <c r="V33" i="21"/>
  <c r="W33" i="21" s="1"/>
  <c r="S33" i="21"/>
  <c r="R33" i="21"/>
  <c r="Q33" i="21"/>
  <c r="O33" i="21"/>
  <c r="P33" i="21" s="1"/>
  <c r="Z32" i="21"/>
  <c r="Y32" i="21"/>
  <c r="X32" i="21"/>
  <c r="V32" i="21"/>
  <c r="W32" i="21" s="1"/>
  <c r="S32" i="21"/>
  <c r="R32" i="21"/>
  <c r="Q32" i="21"/>
  <c r="O32" i="21"/>
  <c r="P32" i="21" s="1"/>
  <c r="Z31" i="21"/>
  <c r="X31" i="21"/>
  <c r="V31" i="21"/>
  <c r="W31" i="21" s="1"/>
  <c r="S31" i="21"/>
  <c r="R31" i="21"/>
  <c r="Q31" i="21"/>
  <c r="O31" i="21"/>
  <c r="P31" i="21" s="1"/>
  <c r="Z30" i="21"/>
  <c r="Y30" i="21"/>
  <c r="X30" i="21"/>
  <c r="V30" i="21"/>
  <c r="W30" i="21" s="1"/>
  <c r="S30" i="21"/>
  <c r="R30" i="21"/>
  <c r="Q30" i="21"/>
  <c r="O30" i="21"/>
  <c r="P30" i="21" s="1"/>
  <c r="Z29" i="21"/>
  <c r="Y29" i="21"/>
  <c r="X29" i="21"/>
  <c r="V29" i="21"/>
  <c r="W29" i="21" s="1"/>
  <c r="S29" i="21"/>
  <c r="R29" i="21"/>
  <c r="Q29" i="21"/>
  <c r="O29" i="21"/>
  <c r="P29" i="21" s="1"/>
  <c r="Z28" i="21"/>
  <c r="X28" i="21"/>
  <c r="Y28" i="21" s="1"/>
  <c r="V28" i="21"/>
  <c r="W28" i="21" s="1"/>
  <c r="S28" i="21"/>
  <c r="Q28" i="21"/>
  <c r="O28" i="21"/>
  <c r="P28" i="21" s="1"/>
  <c r="Z27" i="21"/>
  <c r="Y27" i="21"/>
  <c r="X27" i="21"/>
  <c r="V27" i="21"/>
  <c r="W27" i="21" s="1"/>
  <c r="S27" i="21"/>
  <c r="R27" i="21"/>
  <c r="Q27" i="21"/>
  <c r="O27" i="21"/>
  <c r="P27" i="21" s="1"/>
  <c r="Z26" i="21"/>
  <c r="Y26" i="21"/>
  <c r="X26" i="21"/>
  <c r="V26" i="21"/>
  <c r="W26" i="21" s="1"/>
  <c r="S26" i="21"/>
  <c r="R26" i="21"/>
  <c r="Q26" i="21"/>
  <c r="O26" i="21"/>
  <c r="P26" i="21" s="1"/>
  <c r="Z25" i="21"/>
  <c r="X25" i="21"/>
  <c r="V25" i="21"/>
  <c r="W25" i="21" s="1"/>
  <c r="S25" i="21"/>
  <c r="R25" i="21"/>
  <c r="Q25" i="21"/>
  <c r="O25" i="21"/>
  <c r="P25" i="21" s="1"/>
  <c r="Z24" i="21"/>
  <c r="Y24" i="21"/>
  <c r="X24" i="21"/>
  <c r="V24" i="21"/>
  <c r="W24" i="21" s="1"/>
  <c r="S24" i="21"/>
  <c r="R24" i="21"/>
  <c r="Q24" i="21"/>
  <c r="O24" i="21"/>
  <c r="P24" i="21" s="1"/>
  <c r="Z23" i="21"/>
  <c r="Y23" i="21"/>
  <c r="X23" i="21"/>
  <c r="V23" i="21"/>
  <c r="W23" i="21" s="1"/>
  <c r="S23" i="21"/>
  <c r="R23" i="21"/>
  <c r="Q23" i="21"/>
  <c r="O23" i="21"/>
  <c r="P23" i="21" s="1"/>
  <c r="Z22" i="21"/>
  <c r="X22" i="21"/>
  <c r="V22" i="21"/>
  <c r="W22" i="21" s="1"/>
  <c r="S22" i="21"/>
  <c r="Q22" i="21"/>
  <c r="R22" i="21" s="1"/>
  <c r="O22" i="21"/>
  <c r="P22" i="21" s="1"/>
  <c r="Z21" i="21"/>
  <c r="Y21" i="21"/>
  <c r="X21" i="21"/>
  <c r="V21" i="21"/>
  <c r="W21" i="21" s="1"/>
  <c r="S21" i="21"/>
  <c r="R21" i="21"/>
  <c r="Q21" i="21"/>
  <c r="O21" i="21"/>
  <c r="P21" i="21" s="1"/>
  <c r="Z20" i="21"/>
  <c r="Y20" i="21"/>
  <c r="X20" i="21"/>
  <c r="V20" i="21"/>
  <c r="W20" i="21" s="1"/>
  <c r="S20" i="21"/>
  <c r="R20" i="21"/>
  <c r="Q20" i="21"/>
  <c r="O20" i="21"/>
  <c r="P20" i="21" s="1"/>
  <c r="Z19" i="21"/>
  <c r="X19" i="21"/>
  <c r="V19" i="21"/>
  <c r="W19" i="21" s="1"/>
  <c r="S19" i="21"/>
  <c r="Q19" i="21"/>
  <c r="R19" i="21" s="1"/>
  <c r="O19" i="21"/>
  <c r="P19" i="21" s="1"/>
  <c r="Z18" i="21"/>
  <c r="Y18" i="21"/>
  <c r="X18" i="21"/>
  <c r="V18" i="21"/>
  <c r="W18" i="21" s="1"/>
  <c r="S18" i="21"/>
  <c r="R18" i="21"/>
  <c r="Q18" i="21"/>
  <c r="O18" i="21"/>
  <c r="P18" i="21" s="1"/>
  <c r="Z17" i="21"/>
  <c r="Y17" i="21"/>
  <c r="X17" i="21"/>
  <c r="V17" i="21"/>
  <c r="W17" i="21" s="1"/>
  <c r="S17" i="21"/>
  <c r="R17" i="21"/>
  <c r="Q17" i="21"/>
  <c r="O17" i="21"/>
  <c r="P17" i="21" s="1"/>
  <c r="Z16" i="21"/>
  <c r="X16" i="21"/>
  <c r="V16" i="21"/>
  <c r="W16" i="21" s="1"/>
  <c r="S16" i="21"/>
  <c r="Q16" i="21"/>
  <c r="R16" i="21" s="1"/>
  <c r="O16" i="21"/>
  <c r="P16" i="21" s="1"/>
  <c r="Z15" i="21"/>
  <c r="Y15" i="21"/>
  <c r="X15" i="21"/>
  <c r="V15" i="21"/>
  <c r="W15" i="21" s="1"/>
  <c r="S15" i="21"/>
  <c r="R15" i="21"/>
  <c r="Q15" i="21"/>
  <c r="O15" i="21"/>
  <c r="P15" i="21" s="1"/>
  <c r="Z14" i="21"/>
  <c r="Y14" i="21"/>
  <c r="X14" i="21"/>
  <c r="V14" i="21"/>
  <c r="W14" i="21" s="1"/>
  <c r="S14" i="21"/>
  <c r="R14" i="21"/>
  <c r="Q14" i="21"/>
  <c r="O14" i="21"/>
  <c r="P14" i="21" s="1"/>
  <c r="Y12" i="21"/>
  <c r="R12" i="21"/>
  <c r="Y11" i="21"/>
  <c r="R11" i="21"/>
  <c r="Y9" i="21"/>
  <c r="R9" i="21"/>
  <c r="Y8" i="21"/>
  <c r="R8" i="21"/>
  <c r="Y6" i="21"/>
  <c r="R6" i="21"/>
  <c r="Y5" i="21"/>
  <c r="R5" i="21"/>
  <c r="V120" i="19"/>
  <c r="O120" i="19"/>
  <c r="V119" i="19"/>
  <c r="O119" i="19"/>
  <c r="V118" i="19"/>
  <c r="O118" i="19"/>
  <c r="V117" i="19"/>
  <c r="O117" i="19"/>
  <c r="V116" i="19"/>
  <c r="O116" i="19"/>
  <c r="V115" i="19"/>
  <c r="O115" i="19"/>
  <c r="V114" i="19"/>
  <c r="O114" i="19"/>
  <c r="V113" i="19"/>
  <c r="O113" i="19"/>
  <c r="V112" i="19"/>
  <c r="O112" i="19"/>
  <c r="V111" i="19"/>
  <c r="O111" i="19"/>
  <c r="V110" i="19"/>
  <c r="O110" i="19"/>
  <c r="V109" i="19"/>
  <c r="O109" i="19"/>
  <c r="V108" i="19"/>
  <c r="O108" i="19"/>
  <c r="V107" i="19"/>
  <c r="O107" i="19"/>
  <c r="V106" i="19"/>
  <c r="O106" i="19"/>
  <c r="V105" i="19"/>
  <c r="O105" i="19"/>
  <c r="V104" i="19"/>
  <c r="O104" i="19"/>
  <c r="V103" i="19"/>
  <c r="O103" i="19"/>
  <c r="V102" i="19"/>
  <c r="O102" i="19"/>
  <c r="V101" i="19"/>
  <c r="O101" i="19"/>
  <c r="V100" i="19"/>
  <c r="O100" i="19"/>
  <c r="V99" i="19"/>
  <c r="O99" i="19"/>
  <c r="V98" i="19"/>
  <c r="O98" i="19"/>
  <c r="V97" i="19"/>
  <c r="O97" i="19"/>
  <c r="V96" i="19"/>
  <c r="O96" i="19"/>
  <c r="V95" i="19"/>
  <c r="O95" i="19"/>
  <c r="V94" i="19"/>
  <c r="O94" i="19"/>
  <c r="V93" i="19"/>
  <c r="O93" i="19"/>
  <c r="V92" i="19"/>
  <c r="O92" i="19"/>
  <c r="V91" i="19"/>
  <c r="O91" i="19"/>
  <c r="V90" i="19"/>
  <c r="O90" i="19"/>
  <c r="V89" i="19"/>
  <c r="O89" i="19"/>
  <c r="V88" i="19"/>
  <c r="O88" i="19"/>
  <c r="V87" i="19"/>
  <c r="O87" i="19"/>
  <c r="V86" i="19"/>
  <c r="O86" i="19"/>
  <c r="V85" i="19"/>
  <c r="O85" i="19"/>
  <c r="V84" i="19"/>
  <c r="O84" i="19"/>
  <c r="V83" i="19"/>
  <c r="O83" i="19"/>
  <c r="V82" i="19"/>
  <c r="O82" i="19"/>
  <c r="V81" i="19"/>
  <c r="O81" i="19"/>
  <c r="V80" i="19"/>
  <c r="O80" i="19"/>
  <c r="V79" i="19"/>
  <c r="O79" i="19"/>
  <c r="V78" i="19"/>
  <c r="O78" i="19"/>
  <c r="V77" i="19"/>
  <c r="O77" i="19"/>
  <c r="V76" i="19"/>
  <c r="O76" i="19"/>
  <c r="V75" i="19"/>
  <c r="O75" i="19"/>
  <c r="V74" i="19"/>
  <c r="O74" i="19"/>
  <c r="V73" i="19"/>
  <c r="O73" i="19"/>
  <c r="V72" i="19"/>
  <c r="O72" i="19"/>
  <c r="V71" i="19"/>
  <c r="O71" i="19"/>
  <c r="V70" i="19"/>
  <c r="O70" i="19"/>
  <c r="V69" i="19"/>
  <c r="O69" i="19"/>
  <c r="V68" i="19"/>
  <c r="O68" i="19"/>
  <c r="V67" i="19"/>
  <c r="O67" i="19"/>
  <c r="V66" i="19"/>
  <c r="O66" i="19"/>
  <c r="V65" i="19"/>
  <c r="O65" i="19"/>
  <c r="V64" i="19"/>
  <c r="O64" i="19"/>
  <c r="V63" i="19"/>
  <c r="O63" i="19"/>
  <c r="V62" i="19"/>
  <c r="O62" i="19"/>
  <c r="V61" i="19"/>
  <c r="O61" i="19"/>
  <c r="Z60" i="19"/>
  <c r="Y60" i="19"/>
  <c r="X60" i="19"/>
  <c r="V60" i="19"/>
  <c r="W60" i="19" s="1"/>
  <c r="S60" i="19"/>
  <c r="R60" i="19"/>
  <c r="Q60" i="19"/>
  <c r="O60" i="19"/>
  <c r="P60" i="19" s="1"/>
  <c r="Z59" i="19"/>
  <c r="Y59" i="19"/>
  <c r="X59" i="19"/>
  <c r="V59" i="19"/>
  <c r="W59" i="19" s="1"/>
  <c r="S59" i="19"/>
  <c r="R59" i="19"/>
  <c r="Q59" i="19"/>
  <c r="O59" i="19"/>
  <c r="P59" i="19" s="1"/>
  <c r="Z58" i="19"/>
  <c r="X58" i="19"/>
  <c r="Y58" i="19" s="1"/>
  <c r="V58" i="19"/>
  <c r="W58" i="19" s="1"/>
  <c r="S58" i="19"/>
  <c r="Q58" i="19"/>
  <c r="O58" i="19"/>
  <c r="P58" i="19" s="1"/>
  <c r="Z57" i="19"/>
  <c r="Y57" i="19"/>
  <c r="X57" i="19"/>
  <c r="V57" i="19"/>
  <c r="W57" i="19" s="1"/>
  <c r="S57" i="19"/>
  <c r="R57" i="19"/>
  <c r="Q57" i="19"/>
  <c r="O57" i="19"/>
  <c r="P57" i="19" s="1"/>
  <c r="Z56" i="19"/>
  <c r="Y56" i="19"/>
  <c r="X56" i="19"/>
  <c r="V56" i="19"/>
  <c r="W56" i="19" s="1"/>
  <c r="S56" i="19"/>
  <c r="R56" i="19"/>
  <c r="Q56" i="19"/>
  <c r="O56" i="19"/>
  <c r="P56" i="19" s="1"/>
  <c r="Z55" i="19"/>
  <c r="X55" i="19"/>
  <c r="V55" i="19"/>
  <c r="W55" i="19" s="1"/>
  <c r="S55" i="19"/>
  <c r="Q55" i="19"/>
  <c r="R55" i="19" s="1"/>
  <c r="O55" i="19"/>
  <c r="P55" i="19" s="1"/>
  <c r="Z54" i="19"/>
  <c r="Y54" i="19"/>
  <c r="X54" i="19"/>
  <c r="V54" i="19"/>
  <c r="W54" i="19" s="1"/>
  <c r="S54" i="19"/>
  <c r="R54" i="19"/>
  <c r="Q54" i="19"/>
  <c r="O54" i="19"/>
  <c r="P54" i="19" s="1"/>
  <c r="Z53" i="19"/>
  <c r="Y53" i="19"/>
  <c r="X53" i="19"/>
  <c r="V53" i="19"/>
  <c r="W53" i="19" s="1"/>
  <c r="S53" i="19"/>
  <c r="R53" i="19"/>
  <c r="Q53" i="19"/>
  <c r="O53" i="19"/>
  <c r="P53" i="19" s="1"/>
  <c r="Z52" i="19"/>
  <c r="X52" i="19"/>
  <c r="Y52" i="19" s="1"/>
  <c r="V52" i="19"/>
  <c r="W52" i="19" s="1"/>
  <c r="S52" i="19"/>
  <c r="Q52" i="19"/>
  <c r="O52" i="19"/>
  <c r="P52" i="19" s="1"/>
  <c r="Z51" i="19"/>
  <c r="Y51" i="19"/>
  <c r="X51" i="19"/>
  <c r="V51" i="19"/>
  <c r="W51" i="19" s="1"/>
  <c r="S51" i="19"/>
  <c r="R51" i="19"/>
  <c r="Q51" i="19"/>
  <c r="O51" i="19"/>
  <c r="P51" i="19" s="1"/>
  <c r="Z50" i="19"/>
  <c r="Y50" i="19"/>
  <c r="X50" i="19"/>
  <c r="V50" i="19"/>
  <c r="W50" i="19" s="1"/>
  <c r="S50" i="19"/>
  <c r="R50" i="19"/>
  <c r="Q50" i="19"/>
  <c r="O50" i="19"/>
  <c r="P50" i="19" s="1"/>
  <c r="Z49" i="19"/>
  <c r="X49" i="19"/>
  <c r="V49" i="19"/>
  <c r="W49" i="19" s="1"/>
  <c r="S49" i="19"/>
  <c r="Q49" i="19"/>
  <c r="R49" i="19" s="1"/>
  <c r="O49" i="19"/>
  <c r="P49" i="19" s="1"/>
  <c r="Z48" i="19"/>
  <c r="Y48" i="19"/>
  <c r="X48" i="19"/>
  <c r="V48" i="19"/>
  <c r="W48" i="19" s="1"/>
  <c r="S48" i="19"/>
  <c r="R48" i="19"/>
  <c r="Q48" i="19"/>
  <c r="O48" i="19"/>
  <c r="P48" i="19" s="1"/>
  <c r="Z47" i="19"/>
  <c r="Y47" i="19"/>
  <c r="X47" i="19"/>
  <c r="V47" i="19"/>
  <c r="W47" i="19" s="1"/>
  <c r="S47" i="19"/>
  <c r="R47" i="19"/>
  <c r="Q47" i="19"/>
  <c r="O47" i="19"/>
  <c r="P47" i="19" s="1"/>
  <c r="Z46" i="19"/>
  <c r="X46" i="19"/>
  <c r="Y46" i="19" s="1"/>
  <c r="V46" i="19"/>
  <c r="W46" i="19" s="1"/>
  <c r="S46" i="19"/>
  <c r="Q46" i="19"/>
  <c r="O46" i="19"/>
  <c r="P46" i="19" s="1"/>
  <c r="Z45" i="19"/>
  <c r="Y45" i="19"/>
  <c r="X45" i="19"/>
  <c r="V45" i="19"/>
  <c r="W45" i="19" s="1"/>
  <c r="S45" i="19"/>
  <c r="R45" i="19"/>
  <c r="Q45" i="19"/>
  <c r="O45" i="19"/>
  <c r="P45" i="19" s="1"/>
  <c r="Z44" i="19"/>
  <c r="Y44" i="19"/>
  <c r="X44" i="19"/>
  <c r="V44" i="19"/>
  <c r="W44" i="19" s="1"/>
  <c r="S44" i="19"/>
  <c r="R44" i="19"/>
  <c r="Q44" i="19"/>
  <c r="O44" i="19"/>
  <c r="P44" i="19" s="1"/>
  <c r="Z43" i="19"/>
  <c r="X43" i="19"/>
  <c r="V43" i="19"/>
  <c r="W43" i="19" s="1"/>
  <c r="S43" i="19"/>
  <c r="Q43" i="19"/>
  <c r="R43" i="19" s="1"/>
  <c r="O43" i="19"/>
  <c r="P43" i="19" s="1"/>
  <c r="Z42" i="19"/>
  <c r="Y42" i="19"/>
  <c r="X42" i="19"/>
  <c r="V42" i="19"/>
  <c r="W42" i="19" s="1"/>
  <c r="S42" i="19"/>
  <c r="R42" i="19"/>
  <c r="Q42" i="19"/>
  <c r="O42" i="19"/>
  <c r="P42" i="19" s="1"/>
  <c r="Z41" i="19"/>
  <c r="Y41" i="19"/>
  <c r="X41" i="19"/>
  <c r="V41" i="19"/>
  <c r="W41" i="19" s="1"/>
  <c r="S41" i="19"/>
  <c r="R41" i="19"/>
  <c r="Q41" i="19"/>
  <c r="O41" i="19"/>
  <c r="P41" i="19" s="1"/>
  <c r="Z40" i="19"/>
  <c r="X40" i="19"/>
  <c r="Y40" i="19" s="1"/>
  <c r="V40" i="19"/>
  <c r="W40" i="19" s="1"/>
  <c r="S40" i="19"/>
  <c r="Q40" i="19"/>
  <c r="O40" i="19"/>
  <c r="P40" i="19" s="1"/>
  <c r="Z39" i="19"/>
  <c r="Y39" i="19"/>
  <c r="X39" i="19"/>
  <c r="V39" i="19"/>
  <c r="W39" i="19" s="1"/>
  <c r="S39" i="19"/>
  <c r="R39" i="19"/>
  <c r="Q39" i="19"/>
  <c r="O39" i="19"/>
  <c r="P39" i="19" s="1"/>
  <c r="Z38" i="19"/>
  <c r="Y38" i="19"/>
  <c r="X38" i="19"/>
  <c r="V38" i="19"/>
  <c r="W38" i="19" s="1"/>
  <c r="S38" i="19"/>
  <c r="R38" i="19"/>
  <c r="Q38" i="19"/>
  <c r="O38" i="19"/>
  <c r="P38" i="19" s="1"/>
  <c r="Z37" i="19"/>
  <c r="X37" i="19"/>
  <c r="V37" i="19"/>
  <c r="W37" i="19" s="1"/>
  <c r="S37" i="19"/>
  <c r="Q37" i="19"/>
  <c r="R37" i="19" s="1"/>
  <c r="O37" i="19"/>
  <c r="P37" i="19" s="1"/>
  <c r="Z36" i="19"/>
  <c r="Y36" i="19"/>
  <c r="X36" i="19"/>
  <c r="V36" i="19"/>
  <c r="W36" i="19" s="1"/>
  <c r="S36" i="19"/>
  <c r="R36" i="19"/>
  <c r="Q36" i="19"/>
  <c r="O36" i="19"/>
  <c r="P36" i="19" s="1"/>
  <c r="Z35" i="19"/>
  <c r="Y35" i="19"/>
  <c r="X35" i="19"/>
  <c r="V35" i="19"/>
  <c r="W35" i="19" s="1"/>
  <c r="S35" i="19"/>
  <c r="R35" i="19"/>
  <c r="Q35" i="19"/>
  <c r="O35" i="19"/>
  <c r="P35" i="19" s="1"/>
  <c r="Z34" i="19"/>
  <c r="X34" i="19"/>
  <c r="Y34" i="19" s="1"/>
  <c r="V34" i="19"/>
  <c r="W34" i="19" s="1"/>
  <c r="S34" i="19"/>
  <c r="Q34" i="19"/>
  <c r="O34" i="19"/>
  <c r="P34" i="19" s="1"/>
  <c r="Z33" i="19"/>
  <c r="Y33" i="19"/>
  <c r="X33" i="19"/>
  <c r="V33" i="19"/>
  <c r="W33" i="19" s="1"/>
  <c r="S33" i="19"/>
  <c r="R33" i="19"/>
  <c r="Q33" i="19"/>
  <c r="O33" i="19"/>
  <c r="P33" i="19" s="1"/>
  <c r="Z32" i="19"/>
  <c r="Y32" i="19"/>
  <c r="X32" i="19"/>
  <c r="V32" i="19"/>
  <c r="W32" i="19" s="1"/>
  <c r="S32" i="19"/>
  <c r="R32" i="19"/>
  <c r="Q32" i="19"/>
  <c r="O32" i="19"/>
  <c r="P32" i="19" s="1"/>
  <c r="Z31" i="19"/>
  <c r="X31" i="19"/>
  <c r="V31" i="19"/>
  <c r="W31" i="19" s="1"/>
  <c r="S31" i="19"/>
  <c r="Q31" i="19"/>
  <c r="R31" i="19" s="1"/>
  <c r="O31" i="19"/>
  <c r="P31" i="19" s="1"/>
  <c r="Z30" i="19"/>
  <c r="Y30" i="19"/>
  <c r="X30" i="19"/>
  <c r="V30" i="19"/>
  <c r="W30" i="19" s="1"/>
  <c r="S30" i="19"/>
  <c r="R30" i="19"/>
  <c r="Q30" i="19"/>
  <c r="O30" i="19"/>
  <c r="P30" i="19" s="1"/>
  <c r="Z29" i="19"/>
  <c r="Y29" i="19"/>
  <c r="X29" i="19"/>
  <c r="V29" i="19"/>
  <c r="W29" i="19" s="1"/>
  <c r="S29" i="19"/>
  <c r="R29" i="19"/>
  <c r="Q29" i="19"/>
  <c r="O29" i="19"/>
  <c r="P29" i="19" s="1"/>
  <c r="Z28" i="19"/>
  <c r="X28" i="19"/>
  <c r="Y28" i="19" s="1"/>
  <c r="V28" i="19"/>
  <c r="W28" i="19" s="1"/>
  <c r="S28" i="19"/>
  <c r="Q28" i="19"/>
  <c r="O28" i="19"/>
  <c r="P28" i="19" s="1"/>
  <c r="Z27" i="19"/>
  <c r="Y27" i="19"/>
  <c r="X27" i="19"/>
  <c r="V27" i="19"/>
  <c r="W27" i="19" s="1"/>
  <c r="S27" i="19"/>
  <c r="R27" i="19"/>
  <c r="Q27" i="19"/>
  <c r="O27" i="19"/>
  <c r="P27" i="19" s="1"/>
  <c r="Z26" i="19"/>
  <c r="Y26" i="19"/>
  <c r="X26" i="19"/>
  <c r="V26" i="19"/>
  <c r="W26" i="19" s="1"/>
  <c r="S26" i="19"/>
  <c r="R26" i="19"/>
  <c r="Q26" i="19"/>
  <c r="O26" i="19"/>
  <c r="P26" i="19" s="1"/>
  <c r="Z25" i="19"/>
  <c r="X25" i="19"/>
  <c r="V25" i="19"/>
  <c r="W25" i="19" s="1"/>
  <c r="S25" i="19"/>
  <c r="Q25" i="19"/>
  <c r="R25" i="19" s="1"/>
  <c r="O25" i="19"/>
  <c r="P25" i="19" s="1"/>
  <c r="Z24" i="19"/>
  <c r="Y24" i="19"/>
  <c r="X24" i="19"/>
  <c r="V24" i="19"/>
  <c r="W24" i="19" s="1"/>
  <c r="S24" i="19"/>
  <c r="R24" i="19"/>
  <c r="Q24" i="19"/>
  <c r="O24" i="19"/>
  <c r="P24" i="19" s="1"/>
  <c r="Z23" i="19"/>
  <c r="Y23" i="19"/>
  <c r="X23" i="19"/>
  <c r="V23" i="19"/>
  <c r="W23" i="19" s="1"/>
  <c r="S23" i="19"/>
  <c r="R23" i="19"/>
  <c r="Q23" i="19"/>
  <c r="O23" i="19"/>
  <c r="P23" i="19" s="1"/>
  <c r="Z22" i="19"/>
  <c r="X22" i="19"/>
  <c r="Y22" i="19" s="1"/>
  <c r="V22" i="19"/>
  <c r="W22" i="19" s="1"/>
  <c r="S22" i="19"/>
  <c r="Q22" i="19"/>
  <c r="O22" i="19"/>
  <c r="P22" i="19" s="1"/>
  <c r="Z21" i="19"/>
  <c r="Y21" i="19"/>
  <c r="X21" i="19"/>
  <c r="V21" i="19"/>
  <c r="W21" i="19" s="1"/>
  <c r="S21" i="19"/>
  <c r="R21" i="19"/>
  <c r="Q21" i="19"/>
  <c r="O21" i="19"/>
  <c r="P21" i="19" s="1"/>
  <c r="Z20" i="19"/>
  <c r="Y20" i="19"/>
  <c r="X20" i="19"/>
  <c r="V20" i="19"/>
  <c r="W20" i="19" s="1"/>
  <c r="S20" i="19"/>
  <c r="R20" i="19"/>
  <c r="Q20" i="19"/>
  <c r="O20" i="19"/>
  <c r="P20" i="19" s="1"/>
  <c r="Z19" i="19"/>
  <c r="X19" i="19"/>
  <c r="V19" i="19"/>
  <c r="W19" i="19" s="1"/>
  <c r="S19" i="19"/>
  <c r="Q19" i="19"/>
  <c r="R19" i="19" s="1"/>
  <c r="O19" i="19"/>
  <c r="P19" i="19" s="1"/>
  <c r="Z18" i="19"/>
  <c r="Y18" i="19"/>
  <c r="X18" i="19"/>
  <c r="V18" i="19"/>
  <c r="W18" i="19" s="1"/>
  <c r="S18" i="19"/>
  <c r="R18" i="19"/>
  <c r="Q18" i="19"/>
  <c r="O18" i="19"/>
  <c r="P18" i="19" s="1"/>
  <c r="Z17" i="19"/>
  <c r="Y17" i="19"/>
  <c r="X17" i="19"/>
  <c r="V17" i="19"/>
  <c r="W17" i="19" s="1"/>
  <c r="S17" i="19"/>
  <c r="R17" i="19"/>
  <c r="Q17" i="19"/>
  <c r="O17" i="19"/>
  <c r="P17" i="19" s="1"/>
  <c r="Z16" i="19"/>
  <c r="X16" i="19"/>
  <c r="Y16" i="19" s="1"/>
  <c r="V16" i="19"/>
  <c r="W16" i="19" s="1"/>
  <c r="S16" i="19"/>
  <c r="Q16" i="19"/>
  <c r="O16" i="19"/>
  <c r="P16" i="19" s="1"/>
  <c r="Z15" i="19"/>
  <c r="Y15" i="19"/>
  <c r="X15" i="19"/>
  <c r="V15" i="19"/>
  <c r="W15" i="19" s="1"/>
  <c r="S15" i="19"/>
  <c r="R15" i="19"/>
  <c r="Q15" i="19"/>
  <c r="O15" i="19"/>
  <c r="P15" i="19" s="1"/>
  <c r="Y14" i="19"/>
  <c r="R14" i="19"/>
  <c r="Y12" i="19"/>
  <c r="R12" i="19"/>
  <c r="Y11" i="19"/>
  <c r="R11" i="19"/>
  <c r="Y9" i="19"/>
  <c r="R9" i="19"/>
  <c r="Y8" i="19"/>
  <c r="R8" i="19"/>
  <c r="Y6" i="19"/>
  <c r="R6" i="19"/>
  <c r="Y5" i="19"/>
  <c r="R5" i="19"/>
  <c r="V120" i="17"/>
  <c r="O120" i="17"/>
  <c r="V119" i="17"/>
  <c r="O119" i="17"/>
  <c r="V118" i="17"/>
  <c r="O118" i="17"/>
  <c r="V117" i="17"/>
  <c r="O117" i="17"/>
  <c r="V116" i="17"/>
  <c r="O116" i="17"/>
  <c r="V115" i="17"/>
  <c r="O115" i="17"/>
  <c r="V114" i="17"/>
  <c r="O114" i="17"/>
  <c r="V113" i="17"/>
  <c r="O113" i="17"/>
  <c r="V112" i="17"/>
  <c r="O112" i="17"/>
  <c r="V111" i="17"/>
  <c r="O111" i="17"/>
  <c r="V110" i="17"/>
  <c r="O110" i="17"/>
  <c r="V109" i="17"/>
  <c r="O109" i="17"/>
  <c r="V108" i="17"/>
  <c r="O108" i="17"/>
  <c r="V107" i="17"/>
  <c r="O107" i="17"/>
  <c r="V106" i="17"/>
  <c r="O106" i="17"/>
  <c r="V105" i="17"/>
  <c r="O105" i="17"/>
  <c r="V104" i="17"/>
  <c r="O104" i="17"/>
  <c r="V103" i="17"/>
  <c r="O103" i="17"/>
  <c r="V102" i="17"/>
  <c r="O102" i="17"/>
  <c r="V101" i="17"/>
  <c r="O101" i="17"/>
  <c r="V100" i="17"/>
  <c r="O100" i="17"/>
  <c r="V99" i="17"/>
  <c r="O99" i="17"/>
  <c r="V98" i="17"/>
  <c r="O98" i="17"/>
  <c r="V97" i="17"/>
  <c r="O97" i="17"/>
  <c r="V96" i="17"/>
  <c r="O96" i="17"/>
  <c r="V95" i="17"/>
  <c r="O95" i="17"/>
  <c r="V94" i="17"/>
  <c r="O94" i="17"/>
  <c r="V93" i="17"/>
  <c r="O93" i="17"/>
  <c r="V92" i="17"/>
  <c r="O92" i="17"/>
  <c r="V91" i="17"/>
  <c r="O91" i="17"/>
  <c r="V90" i="17"/>
  <c r="O90" i="17"/>
  <c r="V89" i="17"/>
  <c r="O89" i="17"/>
  <c r="V88" i="17"/>
  <c r="O88" i="17"/>
  <c r="V87" i="17"/>
  <c r="O87" i="17"/>
  <c r="V86" i="17"/>
  <c r="O86" i="17"/>
  <c r="V85" i="17"/>
  <c r="O85" i="17"/>
  <c r="V84" i="17"/>
  <c r="O84" i="17"/>
  <c r="V83" i="17"/>
  <c r="O83" i="17"/>
  <c r="V82" i="17"/>
  <c r="O82" i="17"/>
  <c r="V81" i="17"/>
  <c r="O81" i="17"/>
  <c r="V80" i="17"/>
  <c r="O80" i="17"/>
  <c r="V79" i="17"/>
  <c r="O79" i="17"/>
  <c r="V78" i="17"/>
  <c r="O78" i="17"/>
  <c r="V77" i="17"/>
  <c r="O77" i="17"/>
  <c r="V76" i="17"/>
  <c r="O76" i="17"/>
  <c r="V75" i="17"/>
  <c r="O75" i="17"/>
  <c r="V74" i="17"/>
  <c r="O74" i="17"/>
  <c r="V73" i="17"/>
  <c r="O73" i="17"/>
  <c r="V72" i="17"/>
  <c r="O72" i="17"/>
  <c r="V71" i="17"/>
  <c r="O71" i="17"/>
  <c r="V70" i="17"/>
  <c r="O70" i="17"/>
  <c r="V69" i="17"/>
  <c r="O69" i="17"/>
  <c r="V68" i="17"/>
  <c r="O68" i="17"/>
  <c r="V67" i="17"/>
  <c r="O67" i="17"/>
  <c r="V66" i="17"/>
  <c r="O66" i="17"/>
  <c r="V65" i="17"/>
  <c r="O65" i="17"/>
  <c r="V64" i="17"/>
  <c r="O64" i="17"/>
  <c r="V63" i="17"/>
  <c r="O63" i="17"/>
  <c r="V62" i="17"/>
  <c r="O62" i="17"/>
  <c r="V61" i="17"/>
  <c r="O61" i="17"/>
  <c r="Z60" i="17"/>
  <c r="Y60" i="17"/>
  <c r="X60" i="17"/>
  <c r="V60" i="17"/>
  <c r="W60" i="17" s="1"/>
  <c r="S60" i="17"/>
  <c r="R60" i="17"/>
  <c r="Q60" i="17"/>
  <c r="O60" i="17"/>
  <c r="P60" i="17" s="1"/>
  <c r="Z59" i="17"/>
  <c r="Y59" i="17"/>
  <c r="X59" i="17"/>
  <c r="V59" i="17"/>
  <c r="W59" i="17" s="1"/>
  <c r="S59" i="17"/>
  <c r="R59" i="17"/>
  <c r="Q59" i="17"/>
  <c r="O59" i="17"/>
  <c r="P59" i="17" s="1"/>
  <c r="Z58" i="17"/>
  <c r="X58" i="17"/>
  <c r="Y58" i="17" s="1"/>
  <c r="V58" i="17"/>
  <c r="W58" i="17" s="1"/>
  <c r="S58" i="17"/>
  <c r="Q58" i="17"/>
  <c r="O58" i="17"/>
  <c r="P58" i="17" s="1"/>
  <c r="Z57" i="17"/>
  <c r="Y57" i="17"/>
  <c r="X57" i="17"/>
  <c r="V57" i="17"/>
  <c r="W57" i="17" s="1"/>
  <c r="S57" i="17"/>
  <c r="R57" i="17"/>
  <c r="Q57" i="17"/>
  <c r="O57" i="17"/>
  <c r="P57" i="17" s="1"/>
  <c r="Z56" i="17"/>
  <c r="Y56" i="17"/>
  <c r="X56" i="17"/>
  <c r="V56" i="17"/>
  <c r="W56" i="17" s="1"/>
  <c r="S56" i="17"/>
  <c r="R56" i="17"/>
  <c r="Q56" i="17"/>
  <c r="O56" i="17"/>
  <c r="P56" i="17" s="1"/>
  <c r="Z55" i="17"/>
  <c r="X55" i="17"/>
  <c r="V55" i="17"/>
  <c r="W55" i="17" s="1"/>
  <c r="S55" i="17"/>
  <c r="Q55" i="17"/>
  <c r="R55" i="17" s="1"/>
  <c r="O55" i="17"/>
  <c r="P55" i="17" s="1"/>
  <c r="Z54" i="17"/>
  <c r="Y54" i="17"/>
  <c r="X54" i="17"/>
  <c r="V54" i="17"/>
  <c r="W54" i="17" s="1"/>
  <c r="S54" i="17"/>
  <c r="R54" i="17"/>
  <c r="Q54" i="17"/>
  <c r="O54" i="17"/>
  <c r="P54" i="17" s="1"/>
  <c r="Z53" i="17"/>
  <c r="Y53" i="17"/>
  <c r="X53" i="17"/>
  <c r="V53" i="17"/>
  <c r="W53" i="17" s="1"/>
  <c r="S53" i="17"/>
  <c r="R53" i="17"/>
  <c r="Q53" i="17"/>
  <c r="O53" i="17"/>
  <c r="P53" i="17" s="1"/>
  <c r="Z52" i="17"/>
  <c r="X52" i="17"/>
  <c r="Y52" i="17" s="1"/>
  <c r="V52" i="17"/>
  <c r="W52" i="17" s="1"/>
  <c r="S52" i="17"/>
  <c r="Q52" i="17"/>
  <c r="O52" i="17"/>
  <c r="P52" i="17" s="1"/>
  <c r="Z51" i="17"/>
  <c r="Y51" i="17"/>
  <c r="X51" i="17"/>
  <c r="V51" i="17"/>
  <c r="W51" i="17" s="1"/>
  <c r="S51" i="17"/>
  <c r="R51" i="17"/>
  <c r="Q51" i="17"/>
  <c r="O51" i="17"/>
  <c r="P51" i="17" s="1"/>
  <c r="Z50" i="17"/>
  <c r="Y50" i="17"/>
  <c r="X50" i="17"/>
  <c r="V50" i="17"/>
  <c r="W50" i="17" s="1"/>
  <c r="S50" i="17"/>
  <c r="R50" i="17"/>
  <c r="Q50" i="17"/>
  <c r="O50" i="17"/>
  <c r="P50" i="17" s="1"/>
  <c r="Z49" i="17"/>
  <c r="X49" i="17"/>
  <c r="V49" i="17"/>
  <c r="W49" i="17" s="1"/>
  <c r="S49" i="17"/>
  <c r="Q49" i="17"/>
  <c r="R49" i="17" s="1"/>
  <c r="O49" i="17"/>
  <c r="P49" i="17" s="1"/>
  <c r="Z48" i="17"/>
  <c r="Y48" i="17"/>
  <c r="X48" i="17"/>
  <c r="V48" i="17"/>
  <c r="W48" i="17" s="1"/>
  <c r="S48" i="17"/>
  <c r="R48" i="17"/>
  <c r="Q48" i="17"/>
  <c r="O48" i="17"/>
  <c r="P48" i="17" s="1"/>
  <c r="Z47" i="17"/>
  <c r="Y47" i="17"/>
  <c r="X47" i="17"/>
  <c r="V47" i="17"/>
  <c r="W47" i="17" s="1"/>
  <c r="S47" i="17"/>
  <c r="R47" i="17"/>
  <c r="Q47" i="17"/>
  <c r="O47" i="17"/>
  <c r="P47" i="17" s="1"/>
  <c r="Z46" i="17"/>
  <c r="X46" i="17"/>
  <c r="Y46" i="17" s="1"/>
  <c r="V46" i="17"/>
  <c r="W46" i="17" s="1"/>
  <c r="S46" i="17"/>
  <c r="Q46" i="17"/>
  <c r="O46" i="17"/>
  <c r="P46" i="17" s="1"/>
  <c r="Z45" i="17"/>
  <c r="Y45" i="17"/>
  <c r="X45" i="17"/>
  <c r="V45" i="17"/>
  <c r="W45" i="17" s="1"/>
  <c r="S45" i="17"/>
  <c r="R45" i="17"/>
  <c r="Q45" i="17"/>
  <c r="O45" i="17"/>
  <c r="P45" i="17" s="1"/>
  <c r="Z44" i="17"/>
  <c r="Y44" i="17"/>
  <c r="X44" i="17"/>
  <c r="V44" i="17"/>
  <c r="W44" i="17" s="1"/>
  <c r="S44" i="17"/>
  <c r="R44" i="17"/>
  <c r="Q44" i="17"/>
  <c r="O44" i="17"/>
  <c r="P44" i="17" s="1"/>
  <c r="Z43" i="17"/>
  <c r="X43" i="17"/>
  <c r="V43" i="17"/>
  <c r="W43" i="17" s="1"/>
  <c r="S43" i="17"/>
  <c r="Q43" i="17"/>
  <c r="R43" i="17" s="1"/>
  <c r="O43" i="17"/>
  <c r="P43" i="17" s="1"/>
  <c r="Z42" i="17"/>
  <c r="Y42" i="17"/>
  <c r="X42" i="17"/>
  <c r="V42" i="17"/>
  <c r="W42" i="17" s="1"/>
  <c r="S42" i="17"/>
  <c r="R42" i="17"/>
  <c r="Q42" i="17"/>
  <c r="O42" i="17"/>
  <c r="P42" i="17" s="1"/>
  <c r="Z41" i="17"/>
  <c r="Y41" i="17"/>
  <c r="X41" i="17"/>
  <c r="V41" i="17"/>
  <c r="W41" i="17" s="1"/>
  <c r="S41" i="17"/>
  <c r="R41" i="17"/>
  <c r="Q41" i="17"/>
  <c r="O41" i="17"/>
  <c r="P41" i="17" s="1"/>
  <c r="Z40" i="17"/>
  <c r="X40" i="17"/>
  <c r="Y40" i="17" s="1"/>
  <c r="V40" i="17"/>
  <c r="W40" i="17" s="1"/>
  <c r="S40" i="17"/>
  <c r="Q40" i="17"/>
  <c r="O40" i="17"/>
  <c r="P40" i="17" s="1"/>
  <c r="Z39" i="17"/>
  <c r="Y39" i="17"/>
  <c r="X39" i="17"/>
  <c r="V39" i="17"/>
  <c r="W39" i="17" s="1"/>
  <c r="S39" i="17"/>
  <c r="R39" i="17"/>
  <c r="Q39" i="17"/>
  <c r="O39" i="17"/>
  <c r="P39" i="17" s="1"/>
  <c r="Z38" i="17"/>
  <c r="Y38" i="17"/>
  <c r="X38" i="17"/>
  <c r="V38" i="17"/>
  <c r="W38" i="17" s="1"/>
  <c r="S38" i="17"/>
  <c r="R38" i="17"/>
  <c r="Q38" i="17"/>
  <c r="O38" i="17"/>
  <c r="P38" i="17" s="1"/>
  <c r="Z37" i="17"/>
  <c r="X37" i="17"/>
  <c r="V37" i="17"/>
  <c r="W37" i="17" s="1"/>
  <c r="S37" i="17"/>
  <c r="Q37" i="17"/>
  <c r="R37" i="17" s="1"/>
  <c r="O37" i="17"/>
  <c r="P37" i="17" s="1"/>
  <c r="Z36" i="17"/>
  <c r="Y36" i="17"/>
  <c r="X36" i="17"/>
  <c r="V36" i="17"/>
  <c r="W36" i="17" s="1"/>
  <c r="S36" i="17"/>
  <c r="R36" i="17"/>
  <c r="Q36" i="17"/>
  <c r="O36" i="17"/>
  <c r="P36" i="17" s="1"/>
  <c r="Z35" i="17"/>
  <c r="Y35" i="17"/>
  <c r="X35" i="17"/>
  <c r="V35" i="17"/>
  <c r="W35" i="17" s="1"/>
  <c r="S35" i="17"/>
  <c r="R35" i="17"/>
  <c r="Q35" i="17"/>
  <c r="O35" i="17"/>
  <c r="P35" i="17" s="1"/>
  <c r="Z34" i="17"/>
  <c r="X34" i="17"/>
  <c r="Y34" i="17" s="1"/>
  <c r="V34" i="17"/>
  <c r="W34" i="17" s="1"/>
  <c r="S34" i="17"/>
  <c r="Q34" i="17"/>
  <c r="O34" i="17"/>
  <c r="P34" i="17" s="1"/>
  <c r="Z33" i="17"/>
  <c r="Y33" i="17"/>
  <c r="X33" i="17"/>
  <c r="V33" i="17"/>
  <c r="W33" i="17" s="1"/>
  <c r="S33" i="17"/>
  <c r="R33" i="17"/>
  <c r="Q33" i="17"/>
  <c r="O33" i="17"/>
  <c r="P33" i="17" s="1"/>
  <c r="Z32" i="17"/>
  <c r="Y32" i="17"/>
  <c r="X32" i="17"/>
  <c r="V32" i="17"/>
  <c r="W32" i="17" s="1"/>
  <c r="S32" i="17"/>
  <c r="R32" i="17"/>
  <c r="Q32" i="17"/>
  <c r="O32" i="17"/>
  <c r="P32" i="17" s="1"/>
  <c r="Z31" i="17"/>
  <c r="X31" i="17"/>
  <c r="V31" i="17"/>
  <c r="W31" i="17" s="1"/>
  <c r="S31" i="17"/>
  <c r="Q31" i="17"/>
  <c r="R31" i="17" s="1"/>
  <c r="O31" i="17"/>
  <c r="P31" i="17" s="1"/>
  <c r="Z30" i="17"/>
  <c r="Y30" i="17"/>
  <c r="X30" i="17"/>
  <c r="V30" i="17"/>
  <c r="W30" i="17" s="1"/>
  <c r="S30" i="17"/>
  <c r="R30" i="17"/>
  <c r="Q30" i="17"/>
  <c r="O30" i="17"/>
  <c r="P30" i="17" s="1"/>
  <c r="Z29" i="17"/>
  <c r="Y29" i="17"/>
  <c r="X29" i="17"/>
  <c r="V29" i="17"/>
  <c r="W29" i="17" s="1"/>
  <c r="S29" i="17"/>
  <c r="R29" i="17"/>
  <c r="Q29" i="17"/>
  <c r="O29" i="17"/>
  <c r="P29" i="17" s="1"/>
  <c r="Z28" i="17"/>
  <c r="X28" i="17"/>
  <c r="Y28" i="17" s="1"/>
  <c r="V28" i="17"/>
  <c r="W28" i="17" s="1"/>
  <c r="S28" i="17"/>
  <c r="Q28" i="17"/>
  <c r="O28" i="17"/>
  <c r="P28" i="17" s="1"/>
  <c r="Z27" i="17"/>
  <c r="Y27" i="17"/>
  <c r="X27" i="17"/>
  <c r="V27" i="17"/>
  <c r="W27" i="17" s="1"/>
  <c r="S27" i="17"/>
  <c r="R27" i="17"/>
  <c r="Q27" i="17"/>
  <c r="O27" i="17"/>
  <c r="P27" i="17" s="1"/>
  <c r="Z26" i="17"/>
  <c r="Y26" i="17"/>
  <c r="X26" i="17"/>
  <c r="V26" i="17"/>
  <c r="W26" i="17" s="1"/>
  <c r="S26" i="17"/>
  <c r="R26" i="17"/>
  <c r="Q26" i="17"/>
  <c r="O26" i="17"/>
  <c r="P26" i="17" s="1"/>
  <c r="Z25" i="17"/>
  <c r="X25" i="17"/>
  <c r="V25" i="17"/>
  <c r="W25" i="17" s="1"/>
  <c r="S25" i="17"/>
  <c r="Q25" i="17"/>
  <c r="R25" i="17" s="1"/>
  <c r="O25" i="17"/>
  <c r="P25" i="17" s="1"/>
  <c r="Z24" i="17"/>
  <c r="Y24" i="17"/>
  <c r="X24" i="17"/>
  <c r="V24" i="17"/>
  <c r="W24" i="17" s="1"/>
  <c r="S24" i="17"/>
  <c r="R24" i="17"/>
  <c r="Q24" i="17"/>
  <c r="O24" i="17"/>
  <c r="P24" i="17" s="1"/>
  <c r="Z23" i="17"/>
  <c r="Y23" i="17"/>
  <c r="X23" i="17"/>
  <c r="V23" i="17"/>
  <c r="W23" i="17" s="1"/>
  <c r="S23" i="17"/>
  <c r="R23" i="17"/>
  <c r="Q23" i="17"/>
  <c r="O23" i="17"/>
  <c r="P23" i="17" s="1"/>
  <c r="Z22" i="17"/>
  <c r="X22" i="17"/>
  <c r="Y22" i="17" s="1"/>
  <c r="V22" i="17"/>
  <c r="W22" i="17" s="1"/>
  <c r="S22" i="17"/>
  <c r="Q22" i="17"/>
  <c r="O22" i="17"/>
  <c r="P22" i="17" s="1"/>
  <c r="Z21" i="17"/>
  <c r="Y21" i="17"/>
  <c r="X21" i="17"/>
  <c r="V21" i="17"/>
  <c r="W21" i="17" s="1"/>
  <c r="S21" i="17"/>
  <c r="R21" i="17"/>
  <c r="Q21" i="17"/>
  <c r="O21" i="17"/>
  <c r="P21" i="17" s="1"/>
  <c r="Z20" i="17"/>
  <c r="Y20" i="17"/>
  <c r="X20" i="17"/>
  <c r="V20" i="17"/>
  <c r="W20" i="17" s="1"/>
  <c r="S20" i="17"/>
  <c r="R20" i="17"/>
  <c r="Q20" i="17"/>
  <c r="O20" i="17"/>
  <c r="P20" i="17" s="1"/>
  <c r="Z19" i="17"/>
  <c r="X19" i="17"/>
  <c r="V19" i="17"/>
  <c r="W19" i="17" s="1"/>
  <c r="S19" i="17"/>
  <c r="Q19" i="17"/>
  <c r="R19" i="17" s="1"/>
  <c r="O19" i="17"/>
  <c r="P19" i="17" s="1"/>
  <c r="Z18" i="17"/>
  <c r="Y18" i="17"/>
  <c r="X18" i="17"/>
  <c r="V18" i="17"/>
  <c r="W18" i="17" s="1"/>
  <c r="S18" i="17"/>
  <c r="R18" i="17"/>
  <c r="Q18" i="17"/>
  <c r="O18" i="17"/>
  <c r="P18" i="17" s="1"/>
  <c r="Z17" i="17"/>
  <c r="Y17" i="17"/>
  <c r="X17" i="17"/>
  <c r="V17" i="17"/>
  <c r="W17" i="17" s="1"/>
  <c r="S17" i="17"/>
  <c r="R17" i="17"/>
  <c r="Q17" i="17"/>
  <c r="O17" i="17"/>
  <c r="P17" i="17" s="1"/>
  <c r="Y15" i="17"/>
  <c r="R15" i="17"/>
  <c r="Y14" i="17"/>
  <c r="R14" i="17"/>
  <c r="Y12" i="17"/>
  <c r="R12" i="17"/>
  <c r="Y11" i="17"/>
  <c r="R11" i="17"/>
  <c r="Y9" i="17"/>
  <c r="R9" i="17"/>
  <c r="Y8" i="17"/>
  <c r="R8" i="17"/>
  <c r="Y6" i="17"/>
  <c r="R6" i="17"/>
  <c r="Y5" i="17"/>
  <c r="R5" i="17"/>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V48" i="14"/>
  <c r="V49" i="14"/>
  <c r="V50" i="14"/>
  <c r="V51" i="14"/>
  <c r="V52" i="14"/>
  <c r="V53" i="14"/>
  <c r="V54" i="14"/>
  <c r="V55" i="14"/>
  <c r="V56" i="14"/>
  <c r="V57" i="14"/>
  <c r="V58" i="14"/>
  <c r="V59" i="14"/>
  <c r="V60" i="14"/>
  <c r="V61" i="14"/>
  <c r="V62" i="14"/>
  <c r="V63" i="14"/>
  <c r="V64" i="14"/>
  <c r="V65" i="14"/>
  <c r="V66" i="14"/>
  <c r="V67" i="14"/>
  <c r="V68" i="14"/>
  <c r="V69" i="14"/>
  <c r="V70" i="14"/>
  <c r="V71" i="14"/>
  <c r="V72" i="14"/>
  <c r="V73" i="14"/>
  <c r="V74" i="14"/>
  <c r="V75" i="14"/>
  <c r="V76" i="14"/>
  <c r="V77" i="14"/>
  <c r="V78" i="14"/>
  <c r="V79" i="14"/>
  <c r="V80" i="14"/>
  <c r="V81" i="14"/>
  <c r="V82" i="14"/>
  <c r="V83" i="14"/>
  <c r="V84" i="14"/>
  <c r="V85" i="14"/>
  <c r="V86" i="14"/>
  <c r="V87" i="14"/>
  <c r="V88" i="14"/>
  <c r="V89" i="14"/>
  <c r="V90" i="14"/>
  <c r="V91" i="14"/>
  <c r="V92" i="14"/>
  <c r="V93" i="14"/>
  <c r="V94" i="14"/>
  <c r="V95" i="14"/>
  <c r="V96" i="14"/>
  <c r="V97" i="14"/>
  <c r="V98" i="14"/>
  <c r="V99" i="14"/>
  <c r="V100" i="14"/>
  <c r="V101" i="14"/>
  <c r="V102" i="14"/>
  <c r="V103" i="14"/>
  <c r="V104" i="14"/>
  <c r="V105" i="14"/>
  <c r="V106" i="14"/>
  <c r="V107" i="14"/>
  <c r="V108" i="14"/>
  <c r="V109" i="14"/>
  <c r="V110" i="14"/>
  <c r="V111" i="14"/>
  <c r="V112" i="14"/>
  <c r="V113" i="14"/>
  <c r="V114" i="14"/>
  <c r="V115" i="14"/>
  <c r="V116" i="14"/>
  <c r="V117" i="14"/>
  <c r="V118" i="14"/>
  <c r="V119" i="14"/>
  <c r="V120" i="14"/>
  <c r="O17" i="14"/>
  <c r="O18" i="14"/>
  <c r="O19" i="14"/>
  <c r="O20" i="14"/>
  <c r="O21" i="14"/>
  <c r="O22" i="14"/>
  <c r="O23" i="14"/>
  <c r="O24" i="14"/>
  <c r="O25" i="14"/>
  <c r="O26" i="14"/>
  <c r="O27" i="14"/>
  <c r="O28" i="14"/>
  <c r="O29" i="14"/>
  <c r="O30" i="14"/>
  <c r="O31" i="14"/>
  <c r="O32" i="14"/>
  <c r="O33" i="14"/>
  <c r="O34" i="14"/>
  <c r="O35" i="14"/>
  <c r="O36" i="14"/>
  <c r="O37" i="14"/>
  <c r="O38" i="14"/>
  <c r="O39" i="14"/>
  <c r="O40" i="14"/>
  <c r="O41" i="14"/>
  <c r="O42" i="14"/>
  <c r="O43" i="14"/>
  <c r="O44" i="14"/>
  <c r="O45" i="14"/>
  <c r="O46" i="14"/>
  <c r="O47" i="14"/>
  <c r="O48" i="14"/>
  <c r="O49" i="14"/>
  <c r="O50" i="14"/>
  <c r="O51" i="14"/>
  <c r="O52" i="14"/>
  <c r="O53" i="14"/>
  <c r="O54" i="14"/>
  <c r="O55" i="14"/>
  <c r="O56" i="14"/>
  <c r="O57" i="14"/>
  <c r="O58" i="14"/>
  <c r="O59" i="14"/>
  <c r="O60" i="14"/>
  <c r="O61" i="14"/>
  <c r="O62" i="14"/>
  <c r="O63" i="14"/>
  <c r="O64" i="14"/>
  <c r="O65" i="14"/>
  <c r="O66" i="14"/>
  <c r="O67" i="14"/>
  <c r="O68" i="14"/>
  <c r="O69" i="14"/>
  <c r="O70" i="14"/>
  <c r="O71" i="14"/>
  <c r="O72" i="14"/>
  <c r="O73" i="14"/>
  <c r="O74" i="14"/>
  <c r="O75" i="14"/>
  <c r="O76" i="14"/>
  <c r="O77" i="14"/>
  <c r="O78" i="14"/>
  <c r="O79" i="14"/>
  <c r="O80" i="14"/>
  <c r="O81" i="14"/>
  <c r="O82" i="14"/>
  <c r="O83" i="14"/>
  <c r="O84" i="14"/>
  <c r="O85" i="14"/>
  <c r="O86" i="14"/>
  <c r="O87" i="14"/>
  <c r="O88" i="14"/>
  <c r="O89" i="14"/>
  <c r="O90" i="14"/>
  <c r="O91" i="14"/>
  <c r="O92" i="14"/>
  <c r="O93" i="14"/>
  <c r="O94" i="14"/>
  <c r="O95" i="14"/>
  <c r="O96" i="14"/>
  <c r="O97" i="14"/>
  <c r="O98" i="14"/>
  <c r="O99" i="14"/>
  <c r="O100" i="14"/>
  <c r="O101" i="14"/>
  <c r="O102" i="14"/>
  <c r="O103" i="14"/>
  <c r="O104" i="14"/>
  <c r="O105" i="14"/>
  <c r="O106" i="14"/>
  <c r="O107" i="14"/>
  <c r="O108" i="14"/>
  <c r="O109" i="14"/>
  <c r="O110" i="14"/>
  <c r="O111" i="14"/>
  <c r="O112" i="14"/>
  <c r="O113" i="14"/>
  <c r="O114" i="14"/>
  <c r="O115" i="14"/>
  <c r="O116" i="14"/>
  <c r="O117" i="14"/>
  <c r="O118" i="14"/>
  <c r="O119" i="14"/>
  <c r="O120" i="14"/>
  <c r="Z60" i="14"/>
  <c r="Y60" i="14"/>
  <c r="X60" i="14"/>
  <c r="S60" i="14"/>
  <c r="R60" i="14"/>
  <c r="Q60" i="14"/>
  <c r="Z59" i="14"/>
  <c r="Y59" i="14"/>
  <c r="X59" i="14"/>
  <c r="S59" i="14"/>
  <c r="R59" i="14"/>
  <c r="Q59" i="14"/>
  <c r="Z58" i="14"/>
  <c r="X58" i="14"/>
  <c r="R58" i="14" s="1"/>
  <c r="S58" i="14"/>
  <c r="Q58" i="14"/>
  <c r="Z57" i="14"/>
  <c r="Y57" i="14"/>
  <c r="X57" i="14"/>
  <c r="S57" i="14"/>
  <c r="R57" i="14"/>
  <c r="Q57" i="14"/>
  <c r="Z56" i="14"/>
  <c r="Y56" i="14"/>
  <c r="X56" i="14"/>
  <c r="S56" i="14"/>
  <c r="R56" i="14"/>
  <c r="Q56" i="14"/>
  <c r="Z55" i="14"/>
  <c r="X55" i="14"/>
  <c r="Y55" i="14" s="1"/>
  <c r="S55" i="14"/>
  <c r="Q55" i="14"/>
  <c r="Z54" i="14"/>
  <c r="Y54" i="14"/>
  <c r="X54" i="14"/>
  <c r="S54" i="14"/>
  <c r="R54" i="14"/>
  <c r="Q54" i="14"/>
  <c r="Z53" i="14"/>
  <c r="Y53" i="14"/>
  <c r="X53" i="14"/>
  <c r="S53" i="14"/>
  <c r="R53" i="14"/>
  <c r="Q53" i="14"/>
  <c r="Z52" i="14"/>
  <c r="X52" i="14"/>
  <c r="Y52" i="14" s="1"/>
  <c r="S52" i="14"/>
  <c r="Q52" i="14"/>
  <c r="R52" i="14" s="1"/>
  <c r="Z51" i="14"/>
  <c r="Y51" i="14"/>
  <c r="X51" i="14"/>
  <c r="S51" i="14"/>
  <c r="R51" i="14"/>
  <c r="Q51" i="14"/>
  <c r="Z50" i="14"/>
  <c r="Y50" i="14"/>
  <c r="X50" i="14"/>
  <c r="S50" i="14"/>
  <c r="R50" i="14"/>
  <c r="Q50" i="14"/>
  <c r="Z49" i="14"/>
  <c r="X49" i="14"/>
  <c r="S49" i="14"/>
  <c r="Q49" i="14"/>
  <c r="R49" i="14" s="1"/>
  <c r="Z48" i="14"/>
  <c r="Y48" i="14"/>
  <c r="X48" i="14"/>
  <c r="S48" i="14"/>
  <c r="R48" i="14"/>
  <c r="Q48" i="14"/>
  <c r="Z47" i="14"/>
  <c r="Y47" i="14"/>
  <c r="X47" i="14"/>
  <c r="S47" i="14"/>
  <c r="R47" i="14"/>
  <c r="Q47" i="14"/>
  <c r="Z46" i="14"/>
  <c r="X46" i="14"/>
  <c r="Y46" i="14" s="1"/>
  <c r="S46" i="14"/>
  <c r="Q46" i="14"/>
  <c r="Z45" i="14"/>
  <c r="Y45" i="14"/>
  <c r="X45" i="14"/>
  <c r="S45" i="14"/>
  <c r="R45" i="14"/>
  <c r="Q45" i="14"/>
  <c r="Z44" i="14"/>
  <c r="Y44" i="14"/>
  <c r="X44" i="14"/>
  <c r="S44" i="14"/>
  <c r="R44" i="14"/>
  <c r="Q44" i="14"/>
  <c r="Z43" i="14"/>
  <c r="X43" i="14"/>
  <c r="R43" i="14" s="1"/>
  <c r="S43" i="14"/>
  <c r="Q43" i="14"/>
  <c r="Z42" i="14"/>
  <c r="Y42" i="14"/>
  <c r="X42" i="14"/>
  <c r="S42" i="14"/>
  <c r="R42" i="14"/>
  <c r="Q42" i="14"/>
  <c r="Z41" i="14"/>
  <c r="Y41" i="14"/>
  <c r="X41" i="14"/>
  <c r="S41" i="14"/>
  <c r="R41" i="14"/>
  <c r="Q41" i="14"/>
  <c r="Z40" i="14"/>
  <c r="Y40" i="14"/>
  <c r="X40" i="14"/>
  <c r="S40" i="14"/>
  <c r="Q40" i="14"/>
  <c r="Z39" i="14"/>
  <c r="Y39" i="14"/>
  <c r="X39" i="14"/>
  <c r="S39" i="14"/>
  <c r="R39" i="14"/>
  <c r="Q39" i="14"/>
  <c r="Z38" i="14"/>
  <c r="Y38" i="14"/>
  <c r="X38" i="14"/>
  <c r="S38" i="14"/>
  <c r="R38" i="14"/>
  <c r="Q38" i="14"/>
  <c r="Z37" i="14"/>
  <c r="X37" i="14"/>
  <c r="S37" i="14"/>
  <c r="Q37" i="14"/>
  <c r="Z36" i="14"/>
  <c r="Y36" i="14"/>
  <c r="X36" i="14"/>
  <c r="S36" i="14"/>
  <c r="R36" i="14"/>
  <c r="Q36" i="14"/>
  <c r="Z35" i="14"/>
  <c r="Y35" i="14"/>
  <c r="X35" i="14"/>
  <c r="S35" i="14"/>
  <c r="R35" i="14"/>
  <c r="Q35" i="14"/>
  <c r="Z34" i="14"/>
  <c r="X34" i="14"/>
  <c r="S34" i="14"/>
  <c r="Q34" i="14"/>
  <c r="R34" i="14" s="1"/>
  <c r="Z33" i="14"/>
  <c r="Y33" i="14"/>
  <c r="X33" i="14"/>
  <c r="S33" i="14"/>
  <c r="R33" i="14"/>
  <c r="Q33" i="14"/>
  <c r="Z32" i="14"/>
  <c r="Y32" i="14"/>
  <c r="X32" i="14"/>
  <c r="S32" i="14"/>
  <c r="R32" i="14"/>
  <c r="Q32" i="14"/>
  <c r="Z31" i="14"/>
  <c r="X31" i="14"/>
  <c r="S31" i="14"/>
  <c r="Q31" i="14"/>
  <c r="Z30" i="14"/>
  <c r="Y30" i="14"/>
  <c r="X30" i="14"/>
  <c r="S30" i="14"/>
  <c r="R30" i="14"/>
  <c r="Q30" i="14"/>
  <c r="Z29" i="14"/>
  <c r="Y29" i="14"/>
  <c r="X29" i="14"/>
  <c r="S29" i="14"/>
  <c r="R29" i="14"/>
  <c r="Q29" i="14"/>
  <c r="Z28" i="14"/>
  <c r="X28" i="14"/>
  <c r="Y28" i="14" s="1"/>
  <c r="S28" i="14"/>
  <c r="Q28" i="14"/>
  <c r="Z27" i="14"/>
  <c r="Y27" i="14"/>
  <c r="X27" i="14"/>
  <c r="S27" i="14"/>
  <c r="R27" i="14"/>
  <c r="Q27" i="14"/>
  <c r="Z26" i="14"/>
  <c r="Y26" i="14"/>
  <c r="X26" i="14"/>
  <c r="S26" i="14"/>
  <c r="R26" i="14"/>
  <c r="Q26" i="14"/>
  <c r="Z25" i="14"/>
  <c r="X25" i="14"/>
  <c r="Y25" i="14" s="1"/>
  <c r="S25" i="14"/>
  <c r="Q25" i="14"/>
  <c r="Z24" i="14"/>
  <c r="Y24" i="14"/>
  <c r="X24" i="14"/>
  <c r="S24" i="14"/>
  <c r="R24" i="14"/>
  <c r="Q24" i="14"/>
  <c r="Z23" i="14"/>
  <c r="Y23" i="14"/>
  <c r="X23" i="14"/>
  <c r="S23" i="14"/>
  <c r="R23" i="14"/>
  <c r="Q23" i="14"/>
  <c r="Z22" i="14"/>
  <c r="X22" i="14"/>
  <c r="Y22" i="14" s="1"/>
  <c r="S22" i="14"/>
  <c r="Q22" i="14"/>
  <c r="Z21" i="14"/>
  <c r="Y21" i="14"/>
  <c r="X21" i="14"/>
  <c r="S21" i="14"/>
  <c r="R21" i="14"/>
  <c r="Q21" i="14"/>
  <c r="Z20" i="14"/>
  <c r="Y20" i="14"/>
  <c r="X20" i="14"/>
  <c r="S20" i="14"/>
  <c r="R20" i="14"/>
  <c r="Q20" i="14"/>
  <c r="Z19" i="14"/>
  <c r="X19" i="14"/>
  <c r="S19" i="14"/>
  <c r="Q19" i="14"/>
  <c r="R19" i="14" s="1"/>
  <c r="Z18" i="14"/>
  <c r="Y18" i="14"/>
  <c r="X18" i="14"/>
  <c r="S18" i="14"/>
  <c r="R18" i="14"/>
  <c r="Q18" i="14"/>
  <c r="Z17" i="14"/>
  <c r="Y17" i="14"/>
  <c r="X17" i="14"/>
  <c r="S17" i="14"/>
  <c r="R17" i="14"/>
  <c r="Q17" i="14"/>
  <c r="Y15" i="14"/>
  <c r="R15" i="14"/>
  <c r="Y14" i="14"/>
  <c r="R14" i="14"/>
  <c r="Y12" i="14"/>
  <c r="R12" i="14"/>
  <c r="Y11" i="14"/>
  <c r="R11" i="14"/>
  <c r="Y9" i="14"/>
  <c r="R9" i="14"/>
  <c r="Y8" i="14"/>
  <c r="R8" i="14"/>
  <c r="Y6" i="14"/>
  <c r="R6" i="14"/>
  <c r="Y5" i="14"/>
  <c r="R5" i="14"/>
  <c r="A2" i="12" a="1"/>
  <c r="R10" i="26" l="1"/>
  <c r="R13" i="26"/>
  <c r="R22" i="26"/>
  <c r="R25" i="26"/>
  <c r="Y34" i="26"/>
  <c r="Y40" i="26"/>
  <c r="Y46" i="26"/>
  <c r="Y52" i="26"/>
  <c r="Y58" i="26"/>
  <c r="R22" i="14"/>
  <c r="R25" i="14"/>
  <c r="Y31" i="14"/>
  <c r="Y43" i="14"/>
  <c r="Y58" i="14"/>
  <c r="Y19" i="17"/>
  <c r="Y25" i="17"/>
  <c r="Y31" i="17"/>
  <c r="Y37" i="17"/>
  <c r="Y43" i="17"/>
  <c r="Y49" i="17"/>
  <c r="Y55" i="17"/>
  <c r="Y19" i="19"/>
  <c r="Y25" i="19"/>
  <c r="Y31" i="19"/>
  <c r="Y37" i="19"/>
  <c r="Y43" i="19"/>
  <c r="Y49" i="19"/>
  <c r="Y55" i="19"/>
  <c r="Y16" i="21"/>
  <c r="Y25" i="21"/>
  <c r="R34" i="21"/>
  <c r="Y40" i="21"/>
  <c r="Y49" i="21"/>
  <c r="R58" i="21"/>
  <c r="R19" i="23"/>
  <c r="R25" i="23"/>
  <c r="R31" i="23"/>
  <c r="R37" i="23"/>
  <c r="R43" i="23"/>
  <c r="R49" i="23"/>
  <c r="R55" i="23"/>
  <c r="AB2" i="19" a="1"/>
  <c r="AB2" i="19" s="1"/>
  <c r="Y16" i="26"/>
  <c r="Y19" i="26"/>
  <c r="Y28" i="26"/>
  <c r="R31" i="26"/>
  <c r="R37" i="26"/>
  <c r="R43" i="26"/>
  <c r="R49" i="26"/>
  <c r="R55" i="26"/>
  <c r="Y37" i="21"/>
  <c r="R22" i="17"/>
  <c r="R28" i="17"/>
  <c r="R34" i="17"/>
  <c r="R40" i="17"/>
  <c r="R46" i="17"/>
  <c r="R52" i="17"/>
  <c r="R58" i="17"/>
  <c r="R22" i="19"/>
  <c r="R28" i="19"/>
  <c r="R34" i="19"/>
  <c r="R40" i="19"/>
  <c r="R46" i="19"/>
  <c r="R52" i="19"/>
  <c r="R58" i="19"/>
  <c r="Y19" i="21"/>
  <c r="R28" i="21"/>
  <c r="Y43" i="21"/>
  <c r="R52" i="21"/>
  <c r="Y34" i="14"/>
  <c r="Y37" i="14"/>
  <c r="R40" i="14"/>
  <c r="Y49" i="14"/>
  <c r="Y22" i="21"/>
  <c r="Y31" i="21"/>
  <c r="Y46" i="21"/>
  <c r="Y55" i="21"/>
  <c r="Y16" i="23"/>
  <c r="Y22" i="23"/>
  <c r="R28" i="23"/>
  <c r="R34" i="23"/>
  <c r="R40" i="23"/>
  <c r="R46" i="23"/>
  <c r="R52" i="23"/>
  <c r="R58" i="23"/>
  <c r="Y7" i="26"/>
  <c r="K2" i="15" a="1"/>
  <c r="K2" i="15" s="1"/>
  <c r="H2" i="12" a="1"/>
  <c r="H2" i="12" s="1"/>
  <c r="T2" i="26" a="1"/>
  <c r="Y31" i="26"/>
  <c r="Y37" i="26"/>
  <c r="Y43" i="26"/>
  <c r="Y49" i="26"/>
  <c r="Y55" i="26"/>
  <c r="M2" i="26" a="1"/>
  <c r="AB2" i="26" a="1"/>
  <c r="AB2" i="26" s="1"/>
  <c r="X14" i="19"/>
  <c r="V14" i="19"/>
  <c r="W14" i="19" s="1"/>
  <c r="Z14" i="19"/>
  <c r="AB2" i="17" a="1"/>
  <c r="AB2" i="17" s="1"/>
  <c r="AB2" i="21" a="1"/>
  <c r="AB2" i="21" s="1"/>
  <c r="T2" i="21" a="1"/>
  <c r="T2" i="21" s="1"/>
  <c r="V2" i="21" s="1"/>
  <c r="W2" i="21" s="1"/>
  <c r="R16" i="19"/>
  <c r="AB2" i="14" a="1"/>
  <c r="AB2" i="14" s="1"/>
  <c r="T2" i="17" a="1"/>
  <c r="V4" i="17" s="1"/>
  <c r="X16" i="17"/>
  <c r="V16" i="17"/>
  <c r="W16" i="17" s="1"/>
  <c r="X14" i="17"/>
  <c r="V14" i="17"/>
  <c r="W14" i="17" s="1"/>
  <c r="V15" i="17"/>
  <c r="W15" i="17" s="1"/>
  <c r="X15" i="17"/>
  <c r="Z15" i="17"/>
  <c r="T2" i="23" a="1"/>
  <c r="X4" i="23" s="1"/>
  <c r="Z13" i="23"/>
  <c r="X12" i="23"/>
  <c r="V11" i="23"/>
  <c r="W11" i="23" s="1"/>
  <c r="Z7" i="23"/>
  <c r="X13" i="23"/>
  <c r="V12" i="23"/>
  <c r="W12" i="23" s="1"/>
  <c r="Z8" i="23"/>
  <c r="X7" i="23"/>
  <c r="Z10" i="23"/>
  <c r="X9" i="23"/>
  <c r="V8" i="23"/>
  <c r="W8" i="23" s="1"/>
  <c r="V13" i="23"/>
  <c r="W13" i="23" s="1"/>
  <c r="Z9" i="23"/>
  <c r="X8" i="23"/>
  <c r="V7" i="23"/>
  <c r="W7" i="23" s="1"/>
  <c r="Z11" i="23"/>
  <c r="X10" i="23"/>
  <c r="V9" i="23"/>
  <c r="W9" i="23" s="1"/>
  <c r="Z12" i="23"/>
  <c r="X11" i="23"/>
  <c r="V10" i="23"/>
  <c r="W10" i="23" s="1"/>
  <c r="M2" i="23" a="1"/>
  <c r="Y28" i="23"/>
  <c r="Y34" i="23"/>
  <c r="Y40" i="23"/>
  <c r="Y46" i="23"/>
  <c r="Y52" i="23"/>
  <c r="Y58" i="23"/>
  <c r="Z12" i="21"/>
  <c r="X11" i="21"/>
  <c r="V10" i="21"/>
  <c r="W10" i="21" s="1"/>
  <c r="Z6" i="21"/>
  <c r="X5" i="21"/>
  <c r="V4" i="21"/>
  <c r="Z13" i="21"/>
  <c r="X12" i="21"/>
  <c r="V11" i="21"/>
  <c r="W11" i="21" s="1"/>
  <c r="Z7" i="21"/>
  <c r="X6" i="21"/>
  <c r="V5" i="21"/>
  <c r="W5" i="21" s="1"/>
  <c r="X13" i="21"/>
  <c r="V12" i="21"/>
  <c r="W12" i="21" s="1"/>
  <c r="Z8" i="21"/>
  <c r="X7" i="21"/>
  <c r="V6" i="21"/>
  <c r="W6" i="21" s="1"/>
  <c r="V13" i="21"/>
  <c r="W13" i="21" s="1"/>
  <c r="Z9" i="21"/>
  <c r="X8" i="21"/>
  <c r="V7" i="21"/>
  <c r="W7" i="21" s="1"/>
  <c r="V3" i="21"/>
  <c r="Z10" i="21"/>
  <c r="X9" i="21"/>
  <c r="V8" i="21"/>
  <c r="W8" i="21" s="1"/>
  <c r="Z11" i="21"/>
  <c r="X10" i="21"/>
  <c r="V9" i="21"/>
  <c r="W9" i="21" s="1"/>
  <c r="Z5" i="21"/>
  <c r="X4" i="21"/>
  <c r="M2" i="21" a="1"/>
  <c r="V13" i="19"/>
  <c r="Z9" i="19"/>
  <c r="X8" i="19"/>
  <c r="V7" i="19"/>
  <c r="V3" i="19"/>
  <c r="X9" i="19"/>
  <c r="V8" i="19"/>
  <c r="Z12" i="19"/>
  <c r="X11" i="19"/>
  <c r="V10" i="19"/>
  <c r="Z6" i="19"/>
  <c r="X5" i="19"/>
  <c r="V4" i="19"/>
  <c r="Z11" i="19"/>
  <c r="X10" i="19"/>
  <c r="V9" i="19"/>
  <c r="Z5" i="19"/>
  <c r="X4" i="19"/>
  <c r="X12" i="19"/>
  <c r="V11" i="19"/>
  <c r="X6" i="19"/>
  <c r="V5" i="19"/>
  <c r="T2" i="19"/>
  <c r="V2" i="19" s="1"/>
  <c r="X13" i="19"/>
  <c r="V12" i="19"/>
  <c r="Z8" i="19"/>
  <c r="X7" i="19"/>
  <c r="V6" i="19"/>
  <c r="W6" i="19" s="1"/>
  <c r="M2" i="19" a="1"/>
  <c r="M2" i="17" a="1"/>
  <c r="T2" i="14" a="1"/>
  <c r="M2" i="14" a="1"/>
  <c r="R28" i="14"/>
  <c r="R31" i="14"/>
  <c r="R46" i="14"/>
  <c r="Y19" i="14"/>
  <c r="R37" i="14"/>
  <c r="R55" i="14"/>
  <c r="A2" i="12"/>
  <c r="A2" i="1" a="1"/>
  <c r="A2" i="1" s="1"/>
  <c r="S5" i="14" l="1"/>
  <c r="Q16" i="14"/>
  <c r="S15" i="14"/>
  <c r="Q14" i="14"/>
  <c r="O15" i="14"/>
  <c r="Q15" i="14"/>
  <c r="S14" i="14"/>
  <c r="O16" i="14"/>
  <c r="O14" i="14"/>
  <c r="Z5" i="14"/>
  <c r="V16" i="14"/>
  <c r="V14" i="14"/>
  <c r="V15" i="14"/>
  <c r="X16" i="14"/>
  <c r="Y16" i="14" s="1"/>
  <c r="Z16" i="14" s="1"/>
  <c r="X15" i="14"/>
  <c r="Z14" i="14"/>
  <c r="Z15" i="14"/>
  <c r="X14" i="14"/>
  <c r="Z14" i="17"/>
  <c r="Q6" i="26"/>
  <c r="Q4" i="26"/>
  <c r="O6" i="26"/>
  <c r="P6" i="26" s="1"/>
  <c r="S6" i="26"/>
  <c r="O5" i="26"/>
  <c r="P5" i="26" s="1"/>
  <c r="S5" i="26"/>
  <c r="Q5" i="26"/>
  <c r="Z5" i="26"/>
  <c r="X5" i="26"/>
  <c r="V6" i="26"/>
  <c r="W6" i="26" s="1"/>
  <c r="X4" i="26"/>
  <c r="Y4" i="26" s="1"/>
  <c r="Z4" i="26" s="1"/>
  <c r="V5" i="26"/>
  <c r="W5" i="26" s="1"/>
  <c r="Z6" i="26"/>
  <c r="X6" i="26"/>
  <c r="L2" i="15" a="1"/>
  <c r="O3" i="26"/>
  <c r="P3" i="26" s="1"/>
  <c r="M2" i="26"/>
  <c r="O2" i="26" s="1"/>
  <c r="P2" i="26" s="1"/>
  <c r="O4" i="26"/>
  <c r="P4" i="26" s="1"/>
  <c r="V3" i="26"/>
  <c r="V4" i="26"/>
  <c r="T2" i="26"/>
  <c r="V2" i="26" s="1"/>
  <c r="W2" i="26" s="1"/>
  <c r="S14" i="19"/>
  <c r="Q14" i="19"/>
  <c r="O14" i="19"/>
  <c r="P14" i="19" s="1"/>
  <c r="W10" i="19"/>
  <c r="W11" i="19"/>
  <c r="X9" i="17"/>
  <c r="V5" i="17"/>
  <c r="X4" i="17"/>
  <c r="X6" i="17"/>
  <c r="Z5" i="17"/>
  <c r="X12" i="17"/>
  <c r="Z6" i="17"/>
  <c r="V10" i="17"/>
  <c r="Z9" i="17"/>
  <c r="V13" i="17"/>
  <c r="W11" i="17" s="1"/>
  <c r="X7" i="17"/>
  <c r="V11" i="17"/>
  <c r="V9" i="17"/>
  <c r="X10" i="17"/>
  <c r="Z11" i="17"/>
  <c r="X13" i="17"/>
  <c r="V7" i="17"/>
  <c r="X8" i="17"/>
  <c r="X11" i="17"/>
  <c r="Z12" i="17"/>
  <c r="V8" i="17"/>
  <c r="W8" i="17" s="1"/>
  <c r="T2" i="17"/>
  <c r="V2" i="17" s="1"/>
  <c r="V6" i="17"/>
  <c r="Z8" i="17"/>
  <c r="V12" i="17"/>
  <c r="X5" i="17"/>
  <c r="V3" i="17"/>
  <c r="W8" i="19"/>
  <c r="W9" i="19"/>
  <c r="W12" i="19"/>
  <c r="W7" i="19"/>
  <c r="W5" i="19"/>
  <c r="W13" i="19"/>
  <c r="W2" i="19"/>
  <c r="O15" i="17"/>
  <c r="P15" i="17" s="1"/>
  <c r="Q16" i="17"/>
  <c r="R16" i="17" s="1"/>
  <c r="O16" i="17"/>
  <c r="P16" i="17" s="1"/>
  <c r="S16" i="17"/>
  <c r="O14" i="17"/>
  <c r="P14" i="17" s="1"/>
  <c r="Q14" i="17"/>
  <c r="S15" i="17"/>
  <c r="Q15" i="17"/>
  <c r="S14" i="17"/>
  <c r="Y16" i="17"/>
  <c r="Z16" i="17" s="1"/>
  <c r="G2" i="12" a="1"/>
  <c r="G2" i="12" s="1"/>
  <c r="F2" i="12" a="1"/>
  <c r="F2" i="12" s="1"/>
  <c r="E2" i="12" a="1"/>
  <c r="E2" i="12" s="1"/>
  <c r="D2" i="12" a="1"/>
  <c r="D2" i="12" s="1"/>
  <c r="C2" i="12" a="1"/>
  <c r="V6" i="23"/>
  <c r="W6" i="23" s="1"/>
  <c r="Z5" i="23"/>
  <c r="X6" i="23"/>
  <c r="X5" i="23"/>
  <c r="V3" i="23"/>
  <c r="W3" i="23" s="1"/>
  <c r="V4" i="23"/>
  <c r="T2" i="23"/>
  <c r="V2" i="23" s="1"/>
  <c r="V5" i="23"/>
  <c r="W5" i="23" s="1"/>
  <c r="Z6" i="23"/>
  <c r="S10" i="23"/>
  <c r="Q9" i="23"/>
  <c r="O8" i="23"/>
  <c r="P8" i="23" s="1"/>
  <c r="S11" i="23"/>
  <c r="Q10" i="23"/>
  <c r="R10" i="23" s="1"/>
  <c r="O9" i="23"/>
  <c r="P9" i="23" s="1"/>
  <c r="S5" i="23"/>
  <c r="Q4" i="23"/>
  <c r="R4" i="23" s="1"/>
  <c r="S4" i="23" s="1"/>
  <c r="S12" i="23"/>
  <c r="Q11" i="23"/>
  <c r="O10" i="23"/>
  <c r="P10" i="23" s="1"/>
  <c r="S6" i="23"/>
  <c r="Q5" i="23"/>
  <c r="O4" i="23"/>
  <c r="Q13" i="23"/>
  <c r="R13" i="23" s="1"/>
  <c r="O12" i="23"/>
  <c r="P12" i="23" s="1"/>
  <c r="S8" i="23"/>
  <c r="Q7" i="23"/>
  <c r="R7" i="23" s="1"/>
  <c r="O6" i="23"/>
  <c r="P6" i="23" s="1"/>
  <c r="O3" i="23"/>
  <c r="M2" i="23"/>
  <c r="O2" i="23" s="1"/>
  <c r="S13" i="23"/>
  <c r="Q12" i="23"/>
  <c r="O11" i="23"/>
  <c r="P11" i="23" s="1"/>
  <c r="S7" i="23"/>
  <c r="Q6" i="23"/>
  <c r="O5" i="23"/>
  <c r="P5" i="23" s="1"/>
  <c r="O13" i="23"/>
  <c r="P13" i="23" s="1"/>
  <c r="S9" i="23"/>
  <c r="Q8" i="23"/>
  <c r="O7" i="23"/>
  <c r="P7" i="23" s="1"/>
  <c r="Y10" i="23"/>
  <c r="Q13" i="21"/>
  <c r="R13" i="21" s="1"/>
  <c r="O12" i="21"/>
  <c r="P12" i="21" s="1"/>
  <c r="S8" i="21"/>
  <c r="Q7" i="21"/>
  <c r="R7" i="21" s="1"/>
  <c r="O6" i="21"/>
  <c r="P6" i="21" s="1"/>
  <c r="O3" i="21"/>
  <c r="O13" i="21"/>
  <c r="P13" i="21" s="1"/>
  <c r="S9" i="21"/>
  <c r="Q8" i="21"/>
  <c r="O7" i="21"/>
  <c r="P7" i="21" s="1"/>
  <c r="S10" i="21"/>
  <c r="Q9" i="21"/>
  <c r="O8" i="21"/>
  <c r="P8" i="21" s="1"/>
  <c r="S11" i="21"/>
  <c r="Q10" i="21"/>
  <c r="R10" i="21" s="1"/>
  <c r="O9" i="21"/>
  <c r="P9" i="21" s="1"/>
  <c r="S5" i="21"/>
  <c r="Q4" i="21"/>
  <c r="R4" i="21" s="1"/>
  <c r="S4" i="21" s="1"/>
  <c r="S12" i="21"/>
  <c r="Q11" i="21"/>
  <c r="O10" i="21"/>
  <c r="P10" i="21" s="1"/>
  <c r="S6" i="21"/>
  <c r="Q5" i="21"/>
  <c r="O4" i="21"/>
  <c r="P4" i="21" s="1"/>
  <c r="M2" i="21"/>
  <c r="O2" i="21" s="1"/>
  <c r="S13" i="21"/>
  <c r="Q12" i="21"/>
  <c r="O11" i="21"/>
  <c r="P11" i="21" s="1"/>
  <c r="S7" i="21"/>
  <c r="Q6" i="21"/>
  <c r="O5" i="21"/>
  <c r="P5" i="21" s="1"/>
  <c r="W3" i="21"/>
  <c r="Y4" i="21"/>
  <c r="Z4" i="21" s="1"/>
  <c r="W4" i="21"/>
  <c r="Y10" i="21"/>
  <c r="Y7" i="21"/>
  <c r="Y13" i="21"/>
  <c r="S12" i="19"/>
  <c r="Q11" i="19"/>
  <c r="O10" i="19"/>
  <c r="S6" i="19"/>
  <c r="Q5" i="19"/>
  <c r="O4" i="19"/>
  <c r="M2" i="19"/>
  <c r="O2" i="19" s="1"/>
  <c r="S13" i="19"/>
  <c r="Q12" i="19"/>
  <c r="O11" i="19"/>
  <c r="Q6" i="19"/>
  <c r="O5" i="19"/>
  <c r="Q9" i="19"/>
  <c r="O8" i="19"/>
  <c r="O13" i="19"/>
  <c r="P13" i="19" s="1"/>
  <c r="S9" i="19"/>
  <c r="Q8" i="19"/>
  <c r="O7" i="19"/>
  <c r="P7" i="19" s="1"/>
  <c r="Q13" i="19"/>
  <c r="R13" i="19" s="1"/>
  <c r="O12" i="19"/>
  <c r="S8" i="19"/>
  <c r="Q7" i="19"/>
  <c r="R7" i="19" s="1"/>
  <c r="S7" i="19" s="1"/>
  <c r="O6" i="19"/>
  <c r="O3" i="19"/>
  <c r="S11" i="19"/>
  <c r="Q10" i="19"/>
  <c r="R10" i="19" s="1"/>
  <c r="S10" i="19" s="1"/>
  <c r="O9" i="19"/>
  <c r="S5" i="19"/>
  <c r="Q4" i="19"/>
  <c r="R4" i="19" s="1"/>
  <c r="S4" i="19" s="1"/>
  <c r="Y10" i="19"/>
  <c r="Z10" i="19" s="1"/>
  <c r="W3" i="19"/>
  <c r="Y4" i="19"/>
  <c r="Z4" i="19" s="1"/>
  <c r="Y7" i="19"/>
  <c r="Z7" i="19" s="1"/>
  <c r="W4" i="19"/>
  <c r="Q9" i="17"/>
  <c r="O8" i="17"/>
  <c r="S11" i="17"/>
  <c r="Q10" i="17"/>
  <c r="Y10" i="17" s="1"/>
  <c r="Z10" i="17" s="1"/>
  <c r="O9" i="17"/>
  <c r="S5" i="17"/>
  <c r="Q4" i="17"/>
  <c r="S12" i="17"/>
  <c r="Q11" i="17"/>
  <c r="O10" i="17"/>
  <c r="S6" i="17"/>
  <c r="Q5" i="17"/>
  <c r="O4" i="17"/>
  <c r="M2" i="17"/>
  <c r="O2" i="17" s="1"/>
  <c r="Q12" i="17"/>
  <c r="O11" i="17"/>
  <c r="Q6" i="17"/>
  <c r="O5" i="17"/>
  <c r="Q13" i="17"/>
  <c r="O12" i="17"/>
  <c r="S8" i="17"/>
  <c r="Q7" i="17"/>
  <c r="O6" i="17"/>
  <c r="O3" i="17"/>
  <c r="O13" i="17"/>
  <c r="S9" i="17"/>
  <c r="Q8" i="17"/>
  <c r="O7" i="17"/>
  <c r="Q6" i="14"/>
  <c r="X5" i="14"/>
  <c r="X6" i="14"/>
  <c r="Q4" i="14"/>
  <c r="V6" i="14"/>
  <c r="V7" i="14"/>
  <c r="V8" i="14"/>
  <c r="V3" i="14"/>
  <c r="V13" i="14"/>
  <c r="V4" i="14"/>
  <c r="V5" i="14"/>
  <c r="V9" i="14"/>
  <c r="V10" i="14"/>
  <c r="V11" i="14"/>
  <c r="V12" i="14"/>
  <c r="M2" i="14"/>
  <c r="O2" i="14" s="1"/>
  <c r="O4" i="14"/>
  <c r="Q5" i="14"/>
  <c r="O5" i="14"/>
  <c r="Q13" i="14"/>
  <c r="Q11" i="14"/>
  <c r="S8" i="14"/>
  <c r="O9" i="14"/>
  <c r="S12" i="14"/>
  <c r="Q7" i="14"/>
  <c r="O10" i="14"/>
  <c r="O6" i="14"/>
  <c r="O7" i="14"/>
  <c r="Q10" i="14"/>
  <c r="Q8" i="14"/>
  <c r="O8" i="14"/>
  <c r="O3" i="14"/>
  <c r="S11" i="14"/>
  <c r="O11" i="14"/>
  <c r="Q12" i="14"/>
  <c r="S9" i="14"/>
  <c r="O12" i="14"/>
  <c r="S6" i="14"/>
  <c r="O13" i="14"/>
  <c r="Q9" i="14"/>
  <c r="T2" i="14"/>
  <c r="V2" i="14" s="1"/>
  <c r="X13" i="14"/>
  <c r="X8" i="14"/>
  <c r="X4" i="14"/>
  <c r="Y4" i="14" s="1"/>
  <c r="Z4" i="14" s="1"/>
  <c r="X9" i="14"/>
  <c r="Z6" i="14"/>
  <c r="Z12" i="14"/>
  <c r="X10" i="14"/>
  <c r="X12" i="14"/>
  <c r="Z9" i="14"/>
  <c r="X7" i="14"/>
  <c r="X11" i="14"/>
  <c r="Z8" i="14"/>
  <c r="Z11" i="14"/>
  <c r="A2" i="2" a="1"/>
  <c r="A2" i="2" s="1"/>
  <c r="C2" i="2" s="1" a="1"/>
  <c r="C2" i="2" s="1"/>
  <c r="Y13" i="19" l="1"/>
  <c r="Z13" i="19" s="1"/>
  <c r="W5" i="17"/>
  <c r="R16" i="14"/>
  <c r="S16" i="14" s="1"/>
  <c r="P5" i="17"/>
  <c r="P4" i="17"/>
  <c r="L2" i="15"/>
  <c r="R4" i="26"/>
  <c r="S4" i="26" s="1"/>
  <c r="AE1" i="26" s="1" a="1"/>
  <c r="AE1" i="26" s="1"/>
  <c r="G2" i="15" s="1" a="1"/>
  <c r="G2" i="15" s="1"/>
  <c r="W4" i="26"/>
  <c r="W3" i="26"/>
  <c r="C2" i="12"/>
  <c r="R13" i="17"/>
  <c r="S13" i="17" s="1"/>
  <c r="R4" i="17"/>
  <c r="S4" i="17" s="1"/>
  <c r="R10" i="17"/>
  <c r="S10" i="17" s="1"/>
  <c r="P11" i="19"/>
  <c r="P10" i="17"/>
  <c r="W9" i="17"/>
  <c r="P12" i="19"/>
  <c r="P12" i="17"/>
  <c r="W12" i="17"/>
  <c r="W6" i="17"/>
  <c r="W2" i="17"/>
  <c r="W13" i="17"/>
  <c r="W4" i="17"/>
  <c r="W10" i="17"/>
  <c r="W7" i="17"/>
  <c r="W3" i="17"/>
  <c r="R7" i="17"/>
  <c r="S7" i="17" s="1"/>
  <c r="AE1" i="17" s="1" a="1"/>
  <c r="AE1" i="17" s="1"/>
  <c r="C2" i="15" s="1" a="1"/>
  <c r="C2" i="15" s="1"/>
  <c r="Y10" i="14"/>
  <c r="Z10" i="14" s="1"/>
  <c r="P5" i="19"/>
  <c r="AE1" i="19" a="1"/>
  <c r="AE1" i="19" s="1"/>
  <c r="D2" i="15" s="1" a="1"/>
  <c r="D2" i="15" s="1"/>
  <c r="P2" i="19"/>
  <c r="P9" i="19"/>
  <c r="P8" i="19"/>
  <c r="P10" i="19"/>
  <c r="P6" i="19"/>
  <c r="AE1" i="21" a="1"/>
  <c r="AE1" i="21" s="1"/>
  <c r="E2" i="15" s="1" a="1"/>
  <c r="E2" i="15" s="1"/>
  <c r="Y7" i="23"/>
  <c r="W2" i="23"/>
  <c r="W4" i="23"/>
  <c r="P2" i="23"/>
  <c r="AE1" i="23" a="1"/>
  <c r="AE1" i="23" s="1"/>
  <c r="F2" i="15" s="1" a="1"/>
  <c r="F2" i="15" s="1"/>
  <c r="P4" i="23"/>
  <c r="P3" i="23"/>
  <c r="Y4" i="23"/>
  <c r="Z4" i="23" s="1"/>
  <c r="Y13" i="23"/>
  <c r="P3" i="21"/>
  <c r="P2" i="21"/>
  <c r="P4" i="19"/>
  <c r="P3" i="19"/>
  <c r="P7" i="17"/>
  <c r="Y4" i="17"/>
  <c r="Z4" i="17" s="1"/>
  <c r="P3" i="17"/>
  <c r="P2" i="17"/>
  <c r="P11" i="17"/>
  <c r="P13" i="17"/>
  <c r="P6" i="17"/>
  <c r="P8" i="17"/>
  <c r="Y13" i="17"/>
  <c r="Z13" i="17" s="1"/>
  <c r="P9" i="17"/>
  <c r="Y7" i="17"/>
  <c r="Z7" i="17" s="1"/>
  <c r="R4" i="14"/>
  <c r="S4" i="14" s="1"/>
  <c r="P3" i="14"/>
  <c r="R13" i="14"/>
  <c r="S13" i="14" s="1"/>
  <c r="Y7" i="14"/>
  <c r="Z7" i="14" s="1"/>
  <c r="R7" i="14"/>
  <c r="S7" i="14" s="1"/>
  <c r="P5" i="14"/>
  <c r="Y13" i="14"/>
  <c r="Z13" i="14" s="1"/>
  <c r="R10" i="14"/>
  <c r="S10" i="14" s="1"/>
  <c r="P4" i="14"/>
  <c r="J2" i="1" a="1"/>
  <c r="J2" i="1" s="1"/>
  <c r="C2" i="4" s="1" a="1"/>
  <c r="C2" i="4" s="1"/>
  <c r="E2" i="4" s="1" a="1"/>
  <c r="E2" i="4" s="1"/>
  <c r="H2" i="4" s="1" a="1"/>
  <c r="L2" i="1" a="1"/>
  <c r="L2" i="1" s="1"/>
  <c r="E2" i="2" s="1" a="1"/>
  <c r="E2" i="2" l="1"/>
  <c r="A2" i="4" s="1" a="1"/>
  <c r="A2" i="4" s="1"/>
  <c r="A2" i="6" s="1" a="1"/>
  <c r="I2" i="12" a="1"/>
  <c r="J2" i="12" a="1"/>
  <c r="J2" i="12" s="1"/>
  <c r="H2" i="4"/>
  <c r="K2" i="4" s="1" a="1"/>
  <c r="K2" i="4" s="1"/>
  <c r="A2" i="5" a="1"/>
  <c r="A2" i="5" s="1"/>
  <c r="A2" i="6" l="1"/>
  <c r="D2" i="6" s="1" a="1"/>
  <c r="D2" i="6" s="1"/>
  <c r="I2" i="12"/>
  <c r="K2" i="12" a="1"/>
  <c r="D2" i="5" a="1"/>
  <c r="D2" i="5" s="1"/>
  <c r="K2" i="12" l="1"/>
  <c r="N3" i="24" s="1" a="1"/>
  <c r="F2" i="6" a="1"/>
  <c r="F2" i="6" s="1"/>
  <c r="H2" i="6" s="1" a="1"/>
  <c r="H2" i="6" s="1"/>
  <c r="F2" i="5" a="1"/>
  <c r="F2" i="5" s="1"/>
  <c r="J2" i="5" s="1" a="1"/>
  <c r="J2" i="5" s="1"/>
  <c r="H2" i="5" a="1"/>
  <c r="H2" i="5" s="1"/>
  <c r="N3" i="24" l="1"/>
  <c r="M3" i="24" a="1"/>
  <c r="M3" i="24" s="1"/>
  <c r="W58" i="14"/>
  <c r="W52" i="14"/>
  <c r="W46" i="14"/>
  <c r="W40" i="14"/>
  <c r="W34" i="14"/>
  <c r="P56" i="14"/>
  <c r="P50" i="14"/>
  <c r="P44" i="14"/>
  <c r="P38" i="14"/>
  <c r="P32" i="14"/>
  <c r="P26" i="14"/>
  <c r="P20" i="14"/>
  <c r="P14" i="14"/>
  <c r="P8" i="14"/>
  <c r="W60" i="14"/>
  <c r="W51" i="14"/>
  <c r="W42" i="14"/>
  <c r="W33" i="14"/>
  <c r="P31" i="14"/>
  <c r="W28" i="14"/>
  <c r="W23" i="14"/>
  <c r="P54" i="14"/>
  <c r="W47" i="14"/>
  <c r="P45" i="14"/>
  <c r="P36" i="14"/>
  <c r="P21" i="14"/>
  <c r="W18" i="14"/>
  <c r="P16" i="14"/>
  <c r="W13" i="14"/>
  <c r="P11" i="14"/>
  <c r="P52" i="14"/>
  <c r="P43" i="14"/>
  <c r="P34" i="14"/>
  <c r="W31" i="14"/>
  <c r="P29" i="14"/>
  <c r="P58" i="14"/>
  <c r="P49" i="14"/>
  <c r="P40" i="14"/>
  <c r="P48" i="14"/>
  <c r="P39" i="14"/>
  <c r="P30" i="14"/>
  <c r="P17" i="14"/>
  <c r="W15" i="14"/>
  <c r="W11" i="14"/>
  <c r="W59" i="14"/>
  <c r="W53" i="14"/>
  <c r="P10" i="14"/>
  <c r="P55" i="14"/>
  <c r="W50" i="14"/>
  <c r="W41" i="14"/>
  <c r="W35" i="14"/>
  <c r="P27" i="14"/>
  <c r="W25" i="14"/>
  <c r="W56" i="14"/>
  <c r="P37" i="14"/>
  <c r="W32" i="14"/>
  <c r="P24" i="14"/>
  <c r="W22" i="14"/>
  <c r="W19" i="14"/>
  <c r="P18" i="14"/>
  <c r="W12" i="14"/>
  <c r="W8" i="14"/>
  <c r="P46" i="14"/>
  <c r="W44" i="14"/>
  <c r="W38" i="14"/>
  <c r="W29" i="14"/>
  <c r="P28" i="14"/>
  <c r="W16" i="14"/>
  <c r="W48" i="14"/>
  <c r="P47" i="14"/>
  <c r="W45" i="14"/>
  <c r="P60" i="14"/>
  <c r="P51" i="14"/>
  <c r="P57" i="14"/>
  <c r="P19" i="14"/>
  <c r="P53" i="14"/>
  <c r="P22" i="14"/>
  <c r="W20" i="14"/>
  <c r="P12" i="14"/>
  <c r="P9" i="14"/>
  <c r="W54" i="14"/>
  <c r="W39" i="14"/>
  <c r="P15" i="14"/>
  <c r="P35" i="14"/>
  <c r="W27" i="14"/>
  <c r="P13" i="14"/>
  <c r="W9" i="14"/>
  <c r="P6" i="14"/>
  <c r="P42" i="14"/>
  <c r="W36" i="14"/>
  <c r="P33" i="14"/>
  <c r="W57" i="14"/>
  <c r="W55" i="14"/>
  <c r="W43" i="14"/>
  <c r="W14" i="14"/>
  <c r="P59" i="14"/>
  <c r="W49" i="14"/>
  <c r="W26" i="14"/>
  <c r="P23" i="14"/>
  <c r="W24" i="14"/>
  <c r="W10" i="14"/>
  <c r="W30" i="14"/>
  <c r="W4" i="14"/>
  <c r="W21" i="14"/>
  <c r="W17" i="14"/>
  <c r="P25" i="14"/>
  <c r="W37" i="14"/>
  <c r="P41" i="14"/>
  <c r="W5" i="14"/>
  <c r="P2" i="14"/>
  <c r="W3" i="14"/>
  <c r="W2" i="14"/>
  <c r="M2" i="5" a="1"/>
  <c r="M2" i="5" s="1"/>
  <c r="P2" i="5" s="1" a="1"/>
  <c r="P2" i="5" s="1"/>
  <c r="A2" i="8" s="1" a="1"/>
  <c r="A2" i="8" l="1"/>
  <c r="E2" i="8" s="1" a="1"/>
  <c r="E2" i="8" s="1"/>
  <c r="I1" i="8" s="1"/>
  <c r="P7" i="14"/>
  <c r="AE1" i="14" s="1" a="1"/>
  <c r="AE1" i="14" s="1"/>
  <c r="B2" i="15" s="1" a="1"/>
  <c r="W6" i="14"/>
  <c r="W7" i="14"/>
  <c r="F2" i="8" l="1" a="1"/>
  <c r="F2" i="8" s="1"/>
  <c r="B2" i="15"/>
  <c r="I2" i="15" l="1" a="1"/>
  <c r="I2" i="15" s="1"/>
  <c r="H2" i="15" a="1"/>
  <c r="H2" i="15" s="1"/>
  <c r="J2" i="15" a="1"/>
  <c r="J2" i="15" l="1"/>
  <c r="M2" i="15" a="1"/>
  <c r="M2" i="15" l="1"/>
  <c r="V2" i="15" a="1"/>
  <c r="V2" i="15" l="1"/>
  <c r="B3" i="24" a="1"/>
  <c r="B3" i="24" l="1"/>
  <c r="A3" i="24" a="1"/>
  <c r="A3"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tc={B0CC72F2-BA6D-4E63-BB3D-2461D44F7F5D}</author>
    <author>tc={3F9F5756-85B4-4501-8023-CE4A1F50DBE3}</author>
    <author>tc={818BC614-0CF7-4083-8D92-244F2232AEA3}</author>
  </authors>
  <commentList>
    <comment ref="A1" authorId="0" shapeId="0" xr:uid="{B0CC72F2-BA6D-4E63-BB3D-2461D44F7F5D}">
      <text>
        <t>[Threaded comment]
Your version of Excel allows you to read this threaded comment; however, any edits to it will get removed if the file is opened in a newer version of Excel. Learn more: https://go.microsoft.com/fwlink/?linkid=870924
Comment:
    The roll only shows the two person teams, I need to list the individual debaters too for reorganisation purposes, so I do that here</t>
      </text>
    </comment>
    <comment ref="C2" authorId="1" shapeId="0" xr:uid="{3F9F5756-85B4-4501-8023-CE4A1F50DBE3}">
      <text>
        <t>[Threaded comment]
Your version of Excel allows you to read this threaded comment; however, any edits to it will get removed if the file is opened in a newer version of Excel. Learn more: https://go.microsoft.com/fwlink/?linkid=870924
Comment:
    This uses a BYROW function which, for each row, looks up the team in column B, and sees if there's a Y or N next to it on the roll sheet in column K</t>
      </text>
    </comment>
    <comment ref="E2" authorId="2" shapeId="0" xr:uid="{818BC614-0CF7-4083-8D92-244F2232AEA3}">
      <text>
        <t>[Threaded comment]
Your version of Excel allows you to read this threaded comment; however, any edits to it will get removed if the file is opened in a newer version of Excel. Learn more: https://go.microsoft.com/fwlink/?linkid=870924
Comment:
    This is just a filter of all the one person teams who aren't iron personing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tc={AD45C11E-1E11-4AD5-B331-D82F87CC94E6}</author>
    <author>tc={F67DDAE0-653F-4D91-9E8B-7E4F3DE0912F}</author>
    <author>tc={EDC4FBCE-655E-45FA-8837-194A5271A273}</author>
    <author>tc={5B26A1CE-270B-4FF1-8171-0EB63690EF14}</author>
  </authors>
  <commentList>
    <comment ref="A2" authorId="0" shapeId="0" xr:uid="{AD45C11E-1E11-4AD5-B331-D82F87CC94E6}">
      <text>
        <t>[Threaded comment]
Your version of Excel allows you to read this threaded comment; however, any edits to it will get removed if the file is opened in a newer version of Excel. Learn more: https://go.microsoft.com/fwlink/?linkid=870924
Comment:
    This randomly lists the teams of one</t>
      </text>
    </comment>
    <comment ref="C2" authorId="1" shapeId="0" xr:uid="{F67DDAE0-653F-4D91-9E8B-7E4F3DE0912F}">
      <text>
        <t>[Threaded comment]
Your version of Excel allows you to read this threaded comment; however, any edits to it will get removed if the file is opened in a newer version of Excel. Learn more: https://go.microsoft.com/fwlink/?linkid=870924
Comment:
    This lists the teams of two</t>
      </text>
    </comment>
    <comment ref="E2" authorId="2" shapeId="0" xr:uid="{EDC4FBCE-655E-45FA-8837-194A5271A273}">
      <text>
        <t>[Threaded comment]
Your version of Excel allows you to read this threaded comment; however, any edits to it will get removed if the file is opened in a newer version of Excel. Learn more: https://go.microsoft.com/fwlink/?linkid=870924
Comment:
    This assigns the teams of one to the adjacent teams of two</t>
      </text>
    </comment>
    <comment ref="H2" authorId="3" shapeId="0" xr:uid="{5B26A1CE-270B-4FF1-8171-0EB63690EF14}">
      <text>
        <t>[Threaded comment]
Your version of Excel allows you to read this threaded comment; however, any edits to it will get removed if the file is opened in a newer version of Excel. Learn more: https://go.microsoft.com/fwlink/?linkid=870924
Comment:
    This is the updated team list, it includes both new teams of three, and teams of two that still exist. The latter is shown because it's used on future sheets. The teams of just 3 are shown in K2#</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tc={EB070729-4AA1-48BE-9BBB-7454A92D7872}</author>
    <author>tc={B73DF935-ECEC-4A34-8864-1DE0E4EA3B71}</author>
    <author>tc={E2FF6D90-5DF8-4C17-B1C4-BDD5C9CAEDE5}</author>
    <author>tc={A34ECC6F-EC3C-458C-BE37-404D4D4E0725}</author>
  </authors>
  <commentList>
    <comment ref="A2" authorId="0" shapeId="0" xr:uid="{EB070729-4AA1-48BE-9BBB-7454A92D7872}">
      <text>
        <t>[Threaded comment]
Your version of Excel allows you to read this threaded comment; however, any edits to it will get removed if the file is opened in a newer version of Excel. Learn more: https://go.microsoft.com/fwlink/?linkid=870924
Comment:
    This lists any teams of 2 that remain after the 2+1 sheet</t>
      </text>
    </comment>
    <comment ref="D2" authorId="1" shapeId="0" xr:uid="{B73DF935-ECEC-4A34-8864-1DE0E4EA3B71}">
      <text>
        <t>[Threaded comment]
Your version of Excel allows you to read this threaded comment; however, any edits to it will get removed if the file is opened in a newer version of Excel. Learn more: https://go.microsoft.com/fwlink/?linkid=870924
Comment:
    This lists the remaining teams in a random order</t>
      </text>
    </comment>
    <comment ref="F2" authorId="2" shapeId="0" xr:uid="{E2FF6D90-5DF8-4C17-B1C4-BDD5C9CAEDE5}">
      <text>
        <t>[Threaded comment]
Your version of Excel allows you to read this threaded comment; however, any edits to it will get removed if the file is opened in a newer version of Excel. Learn more: https://go.microsoft.com/fwlink/?linkid=870924
Comment:
    The teams listed in an odd position get to remain on the draw, the even teams have their team name changed</t>
      </text>
    </comment>
    <comment ref="J2" authorId="3" shapeId="0" xr:uid="{A34ECC6F-EC3C-458C-BE37-404D4D4E0725}">
      <text>
        <t>[Threaded comment]
Your version of Excel allows you to read this threaded comment; however, any edits to it will get removed if the file is opened in a newer version of Excel. Learn more: https://go.microsoft.com/fwlink/?linkid=870924
Comment:
    This and M2# are used by the spreadsheet later on to display the final teams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tc={8D500FE1-0EE5-460A-9906-7BF9223F8CC6}</author>
    <author>tc={7AC3DEBC-685E-404B-97E5-402E2C1C4FB2}</author>
    <author>tc={B5EF036F-D280-471D-874D-5462854E0426}</author>
  </authors>
  <commentList>
    <comment ref="A2" authorId="0" shapeId="0" xr:uid="{8D500FE1-0EE5-460A-9906-7BF9223F8CC6}">
      <text>
        <t>[Threaded comment]
Your version of Excel allows you to read this threaded comment; however, any edits to it will get removed if the file is opened in a newer version of Excel. Learn more: https://go.microsoft.com/fwlink/?linkid=870924
Comment:
    This lists the remaining teams of 1 debater that weren't able to be reassigned to a team of 2</t>
      </text>
    </comment>
    <comment ref="F2" authorId="1" shapeId="0" xr:uid="{7AC3DEBC-685E-404B-97E5-402E2C1C4FB2}">
      <text>
        <t>[Threaded comment]
Your version of Excel allows you to read this threaded comment; however, any edits to it will get removed if the file is opened in a newer version of Excel. Learn more: https://go.microsoft.com/fwlink/?linkid=870924
Comment:
    This function reassigns teams using the MOD of the row divided by three to decide whether to keep the team name the same, or to print the team name one or two cells higher</t>
      </text>
    </comment>
    <comment ref="H2" authorId="2" shapeId="0" xr:uid="{B5EF036F-D280-471D-874D-5462854E0426}">
      <text>
        <t>[Threaded comment]
Your version of Excel allows you to read this threaded comment; however, any edits to it will get removed if the file is opened in a newer version of Excel. Learn more: https://go.microsoft.com/fwlink/?linkid=870924
Comment:
    This then prints the speakers next to their reassigned teams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tc={71948EB1-1159-4B96-B754-2B927C217902}</author>
    <author>tc={50E39191-4ECF-45A2-B204-7D4E34B8EE66}</author>
    <author>tc={48177D78-EAA3-487E-A0D4-06D51A78ADA5}</author>
  </authors>
  <commentList>
    <comment ref="A2" authorId="0" shapeId="0" xr:uid="{71948EB1-1159-4B96-B754-2B927C217902}">
      <text>
        <t>[Threaded comment]
Your version of Excel allows you to read this threaded comment; however, any edits to it will get removed if the file is opened in a newer version of Excel. Learn more: https://go.microsoft.com/fwlink/?linkid=870924
Comment:
    This lists the final teams and the speakers in each team</t>
      </text>
    </comment>
    <comment ref="E2" authorId="1" shapeId="0" xr:uid="{50E39191-4ECF-45A2-B204-7D4E34B8EE66}">
      <text>
        <t>[Threaded comment]
Your version of Excel allows you to read this threaded comment; however, any edits to it will get removed if the file is opened in a newer version of Excel. Learn more: https://go.microsoft.com/fwlink/?linkid=870924
Comment:
    This lists all the teams found in column B</t>
      </text>
    </comment>
    <comment ref="F2" authorId="2" shapeId="0" xr:uid="{48177D78-EAA3-487E-A0D4-06D51A78ADA5}">
      <text>
        <t>[Threaded comment]
Your version of Excel allows you to read this threaded comment; however, any edits to it will get removed if the file is opened in a newer version of Excel. Learn more: https://go.microsoft.com/fwlink/?linkid=870924
Comment:
    This assigns each of the teams shown a random number that is used to assign them to a side in a debate. Odd numbers are aff teams, even numbers are neg teams</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<sst xmlns="http://schemas.openxmlformats.org/spreadsheetml/2006/main" count="486" uniqueCount="83">
  <si>
    <t>Floaters</t>
  </si>
  <si>
    <t>2 People Teams</t>
  </si>
  <si>
    <t>1 Person Teams</t>
  </si>
  <si>
    <t>Teams of 1</t>
  </si>
  <si>
    <t>Teams of 2</t>
  </si>
  <si>
    <t>Updated Team List</t>
  </si>
  <si>
    <t>New Team Assignment</t>
  </si>
  <si>
    <t>Remaining Teams of 2</t>
  </si>
  <si>
    <t>Teams to Remain</t>
  </si>
  <si>
    <t>Teams to Merge</t>
  </si>
  <si>
    <t>Teams</t>
  </si>
  <si>
    <t>Reassigned Teams</t>
  </si>
  <si>
    <t>Kept Teams</t>
  </si>
  <si>
    <t>Remaining Debaters</t>
  </si>
  <si>
    <t>Reassigning Teams</t>
  </si>
  <si>
    <t>Two Person Teams</t>
  </si>
  <si>
    <t>Iron Personing?</t>
  </si>
  <si>
    <t>One Person Teams</t>
  </si>
  <si>
    <t>Iron Personing</t>
  </si>
  <si>
    <t>Name</t>
  </si>
  <si>
    <t>Team</t>
  </si>
  <si>
    <t>Final List of Teams</t>
  </si>
  <si>
    <t>Now Complete Teams</t>
  </si>
  <si>
    <t>Random Number</t>
  </si>
  <si>
    <t>PRESENT</t>
  </si>
  <si>
    <r>
      <rPr>
        <sz val="18"/>
        <color theme="1"/>
        <rFont val="Calibri"/>
        <family val="2"/>
        <scheme val="minor"/>
      </rPr>
      <t xml:space="preserve">Welcome!
</t>
    </r>
    <r>
      <rPr>
        <sz val="14"/>
        <color theme="1"/>
        <rFont val="Calibri"/>
        <family val="2"/>
        <scheme val="minor"/>
      </rPr>
      <t>What would you like to do?</t>
    </r>
  </si>
  <si>
    <r>
      <rPr>
        <sz val="18"/>
        <color theme="1"/>
        <rFont val="Calibri"/>
        <family val="2"/>
        <scheme val="minor"/>
      </rPr>
      <t xml:space="preserve">Debugging
</t>
    </r>
    <r>
      <rPr>
        <b/>
        <sz val="12"/>
        <color theme="1"/>
        <rFont val="Calibri"/>
        <family val="2"/>
        <scheme val="minor"/>
      </rPr>
      <t xml:space="preserve">Unable to Copy and Paste
</t>
    </r>
    <r>
      <rPr>
        <sz val="12"/>
        <color theme="1"/>
        <rFont val="Calibri"/>
        <family val="2"/>
        <scheme val="minor"/>
      </rPr>
      <t>This is something which I am simply unable to fix. Due to the way excel works, as I have calculations on manual, everytime I recalculate anything on the sheet, the clipboard is cleared. I cannot change this, it is something that excel forces to happen. As such, if you wish to copy and paste something, you will need to copy it</t>
    </r>
    <r>
      <rPr>
        <i/>
        <sz val="12"/>
        <color theme="1"/>
        <rFont val="Calibri"/>
        <family val="2"/>
        <scheme val="minor"/>
      </rPr>
      <t xml:space="preserve"> and</t>
    </r>
    <r>
      <rPr>
        <sz val="12"/>
        <color theme="1"/>
        <rFont val="Calibri"/>
        <family val="2"/>
        <scheme val="minor"/>
      </rPr>
      <t xml:space="preserve"> paste it before the sheet next recalculates anything. Things that trigger calculations to occur include:
1. Changing the contents of any cell in the "Roll" sheet
2. Pressing any of the buttons on the "Roll" sheet
3. Ticking the box on the "Roll" sheet </t>
    </r>
  </si>
  <si>
    <r>
      <rPr>
        <sz val="18"/>
        <color theme="1"/>
        <rFont val="Calibri"/>
        <family val="2"/>
        <scheme val="minor"/>
      </rPr>
      <t xml:space="preserve">Debugging
</t>
    </r>
    <r>
      <rPr>
        <sz val="12"/>
        <color theme="1"/>
        <rFont val="Calibri"/>
        <family val="2"/>
        <scheme val="minor"/>
      </rPr>
      <t xml:space="preserve">While I have made every effort to make the use of this spreadsheet seemless, I cannot test for everything. As such, it's possible that you may encounter some bugs while using the spreadsheet. Below is a by no means exhaustive list of things to try should the spreadsheet stop working. If this list does not have your answers, there are comments explaining each part of the spreadsheet that you can go and read. Please add to this if you find and are able to solve any such unanticipated bugs. 
</t>
    </r>
    <r>
      <rPr>
        <b/>
        <sz val="12"/>
        <color theme="1"/>
        <rFont val="Calibri"/>
        <family val="2"/>
        <scheme val="minor"/>
      </rPr>
      <t>Buttons are not working</t>
    </r>
    <r>
      <rPr>
        <sz val="12"/>
        <color theme="1"/>
        <rFont val="Calibri"/>
        <family val="2"/>
        <scheme val="minor"/>
      </rPr>
      <t xml:space="preserve">
If the buttons are not working, it suggests that the macros which help run this spreadsheed have ceased running. If that's the case, it's probably because the system has entered debugging mode, which prevents macros from running. The safest way to fix this is to go to the developer tab on the top ribbon (it should be between "Automate" and "Add-ins". If you don't see it, you may not have enabled it. In that case go to File --&gt; Options --&gt; Customise Ribbon and then add Developer to the main tabs) then select "View Code" under "Controls". This should open a new window containing the code modules. Up the top, there should be several buttons including a "Stop" button (next to a "Play" and "Pause" button). Press the "Stop" button then return to the excel spreadsheet and try pressing the buttons. Hopefully they should work again.
Another common reasons the buttons may not work is because "Design Mode" is selected in the "Developer" tab in the main ribbon. Deselect this so that buttons can be pressed.
</t>
    </r>
    <r>
      <rPr>
        <b/>
        <sz val="12"/>
        <color theme="1"/>
        <rFont val="Calibri"/>
        <family val="2"/>
        <scheme val="minor"/>
      </rPr>
      <t>"Display Draw" button not working</t>
    </r>
    <r>
      <rPr>
        <sz val="12"/>
        <color theme="1"/>
        <rFont val="Calibri"/>
        <family val="2"/>
        <scheme val="minor"/>
      </rPr>
      <t xml:space="preserve">
If this is the only button that's not working, it could be becuase you haven't ticked the "Finished Filling Out the Roll?" box. Ensure this is ticked before attempting to generate the draw.</t>
    </r>
  </si>
  <si>
    <r>
      <rPr>
        <sz val="18"/>
        <color theme="1"/>
        <rFont val="Calibri"/>
        <family val="2"/>
        <scheme val="minor"/>
      </rPr>
      <t xml:space="preserve">Debugging
</t>
    </r>
    <r>
      <rPr>
        <b/>
        <sz val="12"/>
        <color theme="1"/>
        <rFont val="Calibri"/>
        <family val="2"/>
        <scheme val="minor"/>
      </rPr>
      <t>Macros Disabled</t>
    </r>
    <r>
      <rPr>
        <sz val="12"/>
        <color theme="1"/>
        <rFont val="Calibri"/>
        <family val="2"/>
        <scheme val="minor"/>
      </rPr>
      <t xml:space="preserve">
If when you first open the sheet, you see this box, it's probably because macros are disabled. This could be for two reasons
1. Microsoft disables all macros on downloaded excel sheets to protect you from malware
2. You may be using a university computer, which may have a blanket ban on all macros from running
Macros are used in this sheet to generate the draw, set up the sheet, and to get the buttons to work.
There are two things you can do to solve this, either reactivate macros or, if that's not an option, you can use the sheet without macros
1. </t>
    </r>
    <r>
      <rPr>
        <u/>
        <sz val="12"/>
        <color theme="1"/>
        <rFont val="Calibri"/>
        <family val="2"/>
        <scheme val="minor"/>
      </rPr>
      <t xml:space="preserve">Reactivating macros
</t>
    </r>
    <r>
      <rPr>
        <sz val="12"/>
        <color theme="1"/>
        <rFont val="Calibri"/>
        <family val="2"/>
        <scheme val="minor"/>
      </rPr>
      <t xml:space="preserve">To reactivate macros you can follow the instructions here (https://support.microsoft.com/en-us/office/enable-or-disable-macros-in-microsoft-365-files-12b036fd-d140-4e74-b45e-16fed1a7e5c6) in brief though, what I recommend doing is going to file --&gt; options --&gt; trust centre --&gt; macro settings and then clicking select macros. Alternatively, if you right click on the file in the file explorer and select properties, there may be a security one at the bottom of the first page to allow you to re-allow macros
2. </t>
    </r>
    <r>
      <rPr>
        <u/>
        <sz val="12"/>
        <color theme="1"/>
        <rFont val="Calibri"/>
        <family val="2"/>
        <scheme val="minor"/>
      </rPr>
      <t xml:space="preserve">Using the sheet without macros
</t>
    </r>
    <r>
      <rPr>
        <sz val="12"/>
        <color theme="1"/>
        <rFont val="Calibri"/>
        <family val="2"/>
        <scheme val="minor"/>
      </rPr>
      <t xml:space="preserve">To set up the display sheet, simply copy and paste the display to create more rows. There is a number the same colour as the background in a square next to where the first affirmative speaker's name should go. This indicates the number of the debate, you will need to change this to be the relevant number.
To use the sheet on a round night, simply fill out the roll as usual, still make sure you click the "Finished Filling out the Roll" checkbox, but then go to the "Formulas" tab in the ribbon above and select, on the far right under calculation options "Calculate this sheet". Then fill out who is iron personing and then again choose to calculate the entire workbook. This might take longer than usual when macros are functional but then open the "Display" tab and the draw should have generated
</t>
    </r>
  </si>
  <si>
    <t/>
  </si>
  <si>
    <t>Affirmative</t>
  </si>
  <si>
    <t>Negative</t>
  </si>
  <si>
    <t>Margin</t>
  </si>
  <si>
    <t>Speaker</t>
  </si>
  <si>
    <t>Aff Speaker Scores</t>
  </si>
  <si>
    <t>Neg Speaker Scores</t>
  </si>
  <si>
    <t>Actual Team</t>
  </si>
  <si>
    <t>Affirmative Speakers</t>
  </si>
  <si>
    <t>Affirmative Scores</t>
  </si>
  <si>
    <t>Negative Speakers</t>
  </si>
  <si>
    <t>Negative Scores</t>
  </si>
  <si>
    <t>Total Score</t>
  </si>
  <si>
    <t>Points</t>
  </si>
  <si>
    <t>Round 1 Score</t>
  </si>
  <si>
    <t>Round 2 Score</t>
  </si>
  <si>
    <t>Round 3 Score</t>
  </si>
  <si>
    <t>Round 4 Score</t>
  </si>
  <si>
    <t>Round 5 Score</t>
  </si>
  <si>
    <t>Average Score</t>
  </si>
  <si>
    <t>All Speakers</t>
  </si>
  <si>
    <t>All Speaker Scores</t>
  </si>
  <si>
    <t>Round 1</t>
  </si>
  <si>
    <t>Round 2</t>
  </si>
  <si>
    <t>Round 3</t>
  </si>
  <si>
    <t>Round 4</t>
  </si>
  <si>
    <t>Round 5</t>
  </si>
  <si>
    <t>Average Margin</t>
  </si>
  <si>
    <t>Teams Leaderboard</t>
  </si>
  <si>
    <t>Speaker Leaderboard</t>
  </si>
  <si>
    <t>Rank</t>
  </si>
  <si>
    <t>Speakers in each Team</t>
  </si>
  <si>
    <t>Round 6 Score</t>
  </si>
  <si>
    <t>Round 6</t>
  </si>
  <si>
    <t>AFFIRMATIVE</t>
  </si>
  <si>
    <t>NEGATIVE</t>
  </si>
  <si>
    <t>LG29</t>
  </si>
  <si>
    <t>LG28</t>
  </si>
  <si>
    <t>Number of Teams:</t>
  </si>
  <si>
    <t>Unique Teams</t>
  </si>
  <si>
    <t>N</t>
  </si>
  <si>
    <t>a</t>
  </si>
  <si>
    <t>b</t>
  </si>
  <si>
    <t>c</t>
  </si>
  <si>
    <t>d</t>
  </si>
  <si>
    <t>e</t>
  </si>
  <si>
    <t>f</t>
  </si>
  <si>
    <t>g</t>
  </si>
  <si>
    <t>h</t>
  </si>
  <si>
    <t>i</t>
  </si>
  <si>
    <t>j</t>
  </si>
  <si>
    <t>k</t>
  </si>
  <si>
    <t>l</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</si>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</sst>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8"/>
      <color theme="1"/>
      <name val="Calibri"/>
      <family val="2"/>
      <scheme val="minor"/>
    </font>
    <font>
      <sz val="14"/>
      <color theme="1"/>
      <name val="Calibri"/>
      <family val="2"/>
      <scheme val="minor"/>
    </font>
    <font>
      <sz val="22"/>
      <color theme="1"/>
      <name val="Calibri"/>
      <family val="2"/>
      <scheme val="minor"/>
    </font>
    <font>
      <sz val="12"/>
      <color theme="1"/>
      <name val="Calibri"/>
      <family val="2"/>
      <scheme val="minor"/>
    </font>
    <font>
      <b/>
      <sz val="12"/>
      <color theme="1"/>
      <name val="Calibri"/>
      <family val="2"/>
      <scheme val="minor"/>
    </font>
    <font>
      <i/>
      <sz val="12"/>
      <color theme="1"/>
      <name val="Calibri"/>
      <family val="2"/>
      <scheme val="minor"/>
    </font>
    <font>
      <u/>
      <sz val="12"/>
      <color theme="1"/>
      <name val="Calibri"/>
      <family val="2"/>
      <scheme val="minor"/>
    </font>
    <font>
      <b/>
      <sz val="11"/>
      <color theme="1"/>
      <name val="Calibri"/>
      <family val="2"/>
      <scheme val="minor"/>
    </font>
    <font>
      <strike/>
      <sz val="11"/>
      <color theme="1"/>
      <name val="Calibri"/>
      <family val="2"/>
      <scheme val="minor"/>
    </font>
    <font>
      <b/>
      <sz val="11"/>
      <color rgb="FF000000"/>
      <name val="Calibri"/>
      <family val="2"/>
      <scheme val="minor"/>
    </font>
    <font>
      <sz val="11"/>
      <color theme="1"/>
      <name val="Aptos"/>
      <family val="2"/>
    </font>
    <font>
      <sz val="11"/>
      <name val="Calibri"/>
      <family val="2"/>
      <scheme val="minor"/>
    </font>
    <font>
      <b/>
      <sz val="11"/>
      <name val="Calibri"/>
      <family val="2"/>
      <scheme val="minor"/>
    </font>
    <font>
      <sz val="11"/>
      <color theme="1"/>
      <name val="Calibri"/>
      <family val="2"/>
      <scheme val="minor"/>
    </font>
    <font>
      <sz val="11"/>
      <color rgb="FFFFFFFF"/>
      <name val="Calibri"/>
      <family val="2"/>
      <scheme val="minor"/>
    </font>
    <font>
      <sz val="11"/>
      <color rgb="FF043F2B"/>
      <name val="Calibri"/>
      <family val="2"/>
      <scheme val="minor"/>
    </font>
  </fonts>
  <fills count="8">
    <fill>
      <patternFill patternType="none"/>
    </fill>
    <fill>
      <patternFill patternType="gray125"/>
    </fill>
    <fill>
      <patternFill patternType="solid">
        <fgColor rgb="FF043F2B"/>
        <bgColor indexed="64"/>
      </patternFill>
    </fill>
    <fill>
      <patternFill patternType="solid">
        <fgColor rgb="FFF6FAF4"/>
        <bgColor indexed="64"/>
      </patternFill>
    </fill>
    <fill>
      <patternFill patternType="solid">
        <fgColor rgb="FFA8D08D"/>
        <bgColor indexed="64"/>
      </patternFill>
    </fill>
    <fill>
      <patternFill patternType="solid">
        <fgColor rgb="FFC9E1BD"/>
        <bgColor indexed="64"/>
      </patternFill>
    </fill>
    <fill>
      <patternFill patternType="solid">
        <fgColor theme="4" tint="0.59999389629810485"/>
        <bgColor indexed="65"/>
      </patternFill>
    </fill>
    <fill>
      <patternFill patternType="solid">
        <fgColor rgb="FF000000"/>
        <bgColor indexed="64"/>
      </patternFill>
    </fill>
  </fills>
  <borders count="8">
    <border>
      <left/>
      <right/>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s>
  <cellStyleXfs count="2">
    <xf numFmtId="0" fontId="0" fillId="0" borderId="0"/>
    <xf numFmtId="0" fontId="14" fillId="6" borderId="0" applyNumberFormat="0" applyBorder="0" applyAlignment="0" applyProtection="0"/>
  </cellStyleXfs>
  <cellXfs count="53">
    <xf numFmtId="0" fontId="0" fillId="0" borderId="0" xfId="0"/>
    <xf numFmtId="0" fontId="0" fillId="2" borderId="0" xfId="0" applyFill="1" applyAlignment="1">
      <alignment horizontal="left"/>
    </xf>
    <xf numFmtId="0" fontId="0" fillId="3" borderId="1" xfId="0" applyFill="1" applyBorder="1" applyAlignment="1">
      <alignment horizontal="left"/>
    </xf>
    <xf numFmtId="0" fontId="0" fillId="0" borderId="2" xfId="0" applyBorder="1"/>
    <xf numFmtId="0" fontId="0" fillId="2" borderId="0" xfId="0" applyFill="1" applyAlignment="1">
      <alignment horizontal="center"/>
    </xf>
    <xf numFmtId="0" fontId="9" fillId="0" borderId="0" xfId="0" applyFont="1"/>
    <xf numFmtId="0" fontId="8" fillId="0" borderId="0" xfId="0" applyFont="1"/>
    <xf numFmtId="0" fontId="8" fillId="2" borderId="0" xfId="0" applyFont="1" applyFill="1" applyAlignment="1">
      <alignment horizontal="left"/>
    </xf>
    <xf numFmtId="0" fontId="10" fillId="4" borderId="0" xfId="0" applyFont="1" applyFill="1" applyAlignment="1">
      <alignment horizontal="center"/>
    </xf>
    <xf numFmtId="0" fontId="10" fillId="4" borderId="0" xfId="0" applyFont="1" applyFill="1" applyAlignment="1">
      <alignment horizontal="left"/>
    </xf>
    <xf numFmtId="0" fontId="0" fillId="5" borderId="1" xfId="0" applyFill="1" applyBorder="1" applyAlignment="1">
      <alignment horizontal="left"/>
    </xf>
    <xf numFmtId="0" fontId="0" fillId="5" borderId="0" xfId="0" applyFill="1" applyAlignment="1">
      <alignment horizontal="center"/>
    </xf>
    <xf numFmtId="0" fontId="0" fillId="5" borderId="0" xfId="0" applyFill="1" applyAlignment="1">
      <alignment horizontal="left"/>
    </xf>
    <xf numFmtId="0" fontId="11" fillId="0" borderId="0" xfId="0" applyFont="1" applyAlignment="1">
      <alignment vertical="center"/>
    </xf>
    <xf numFmtId="2" fontId="11" fillId="0" borderId="0" xfId="0" applyNumberFormat="1" applyFont="1" applyAlignment="1">
      <alignment vertical="center"/>
    </xf>
    <xf numFmtId="2" fontId="0" fillId="0" borderId="0" xfId="0" applyNumberFormat="1"/>
    <xf numFmtId="0" fontId="0" fillId="2" borderId="0" xfId="0" applyFill="1"/>
    <xf numFmtId="0" fontId="0" fillId="5" borderId="0" xfId="0" applyFill="1"/>
    <xf numFmtId="0" fontId="13" fillId="5" borderId="0" xfId="0" applyFont="1" applyFill="1" applyAlignment="1">
      <alignment horizontal="center"/>
    </xf>
    <xf numFmtId="0" fontId="12" fillId="5" borderId="0" xfId="0" applyFont="1" applyFill="1" applyAlignment="1">
      <alignment horizontal="center"/>
    </xf>
    <xf numFmtId="0" fontId="13" fillId="5" borderId="3" xfId="0" applyFont="1" applyFill="1" applyBorder="1" applyAlignment="1">
      <alignment horizontal="center"/>
    </xf>
    <xf numFmtId="0" fontId="12" fillId="5" borderId="0" xfId="0" applyFont="1" applyFill="1" applyAlignment="1">
      <alignment horizontal="right"/>
    </xf>
    <xf numFmtId="0" fontId="0" fillId="5" borderId="0" xfId="0" applyFill="1" applyAlignment="1">
      <alignment horizontal="right"/>
    </xf>
    <xf numFmtId="0" fontId="13" fillId="5" borderId="0" xfId="0" applyFont="1" applyFill="1" applyAlignment="1">
      <alignment horizontal="left"/>
    </xf>
    <xf numFmtId="0" fontId="8" fillId="5" borderId="0" xfId="0" applyFont="1" applyFill="1" applyAlignment="1">
      <alignment horizontal="left"/>
    </xf>
    <xf numFmtId="0" fontId="0" fillId="3" borderId="0" xfId="0" applyFill="1" applyAlignment="1">
      <alignment horizontal="left"/>
    </xf>
    <xf numFmtId="0" fontId="0" fillId="4" borderId="0" xfId="0" applyFill="1"/>
    <xf numFmtId="0" fontId="8" fillId="2" borderId="0" xfId="0" applyFont="1" applyFill="1" applyAlignment="1">
      <alignment horizontal="center"/>
    </xf>
    <xf numFmtId="0" fontId="0" fillId="2" borderId="0" xfId="0" applyFill="1" applyAlignment="1">
      <alignment horizontal="right"/>
    </xf>
    <xf numFmtId="0" fontId="0" fillId="2" borderId="3" xfId="0" applyFill="1" applyBorder="1" applyAlignment="1">
      <alignment horizontal="right"/>
    </xf>
    <xf numFmtId="0" fontId="8" fillId="4" borderId="0" xfId="0" applyFont="1" applyFill="1" applyAlignment="1">
      <alignment horizontal="center"/>
    </xf>
    <xf numFmtId="0" fontId="14" fillId="6" borderId="4" xfId="1" applyBorder="1" applyAlignment="1">
      <alignment wrapText="1"/>
    </xf>
    <xf numFmtId="0" fontId="14" fillId="6" borderId="4" xfId="1" applyBorder="1" applyAlignment="1">
      <alignment horizontal="right" wrapText="1"/>
    </xf>
    <xf numFmtId="0" fontId="8" fillId="5" borderId="0" xfId="0" applyFont="1" applyFill="1" applyAlignment="1">
      <alignment horizontal="center"/>
    </xf>
    <xf numFmtId="0" fontId="15" fillId="7" borderId="0" xfId="0" applyFont="1" applyFill="1" applyAlignment="1">
      <alignment horizontal="center"/>
    </xf>
    <xf numFmtId="0" fontId="16" fillId="2" borderId="0" xfId="0" applyFont="1" applyFill="1" applyAlignment="1">
      <alignment horizontal="left"/>
    </xf>
    <xf numFmtId="0" fontId="0" fillId="4" borderId="0" xfId="0" applyFill="1" applyAlignment="1">
      <alignment horizontal="left"/>
    </xf>
    <xf numFmtId="0" fontId="0" fillId="0" borderId="3" xfId="0" applyBorder="1"/>
    <xf numFmtId="0" fontId="0" fillId="0" borderId="5" xfId="0" applyBorder="1"/>
    <xf numFmtId="0" fontId="0" fillId="0" borderId="6" xfId="0" applyBorder="1"/>
    <xf numFmtId="0" fontId="0" fillId="0" borderId="7" xfId="0" applyBorder="1" applyAlignment="1">
      <alignment horizontal="center"/>
    </xf>
    <xf numFmtId="0" fontId="0" fillId="0" borderId="7" xfId="0" applyBorder="1"/>
    <xf numFmtId="0" fontId="8" fillId="4" borderId="0" xfId="0" applyFont="1" applyFill="1" applyAlignment="1">
      <alignment horizontal="center"/>
    </xf>
    <xf numFmtId="0" fontId="0" fillId="2" borderId="0" xfId="0" applyFill="1" applyAlignment="1">
      <alignment horizontal="center"/>
    </xf>
    <xf numFmtId="49" fontId="0" fillId="0" borderId="0" xfId="0" applyNumberFormat="1" applyAlignment="1">
      <alignment horizontal="center" vertical="top" wrapText="1"/>
    </xf>
    <xf numFmtId="0" fontId="0" fillId="0" borderId="0" xfId="0" applyAlignment="1">
      <alignment horizontal="center"/>
    </xf>
    <xf numFmtId="0" fontId="13" fillId="4" borderId="0" xfId="0" applyFont="1" applyFill="1" applyAlignment="1">
      <alignment horizontal="center"/>
    </xf>
    <xf numFmtId="0" fontId="0" fillId="0" borderId="0" xfId="0" applyAlignment="1">
      <alignment horizontal="center" vertical="top" wrapText="1"/>
    </xf>
    <xf numFmtId="0" fontId="0" fillId="0" borderId="0" xfId="0" applyAlignment="1">
      <alignment horizontal="center" vertical="top"/>
    </xf>
    <xf numFmtId="0" fontId="3" fillId="0" borderId="0" xfId="0" applyFont="1" applyAlignment="1">
      <alignment horizontal="center" vertical="top" wrapText="1"/>
    </xf>
    <xf numFmtId="0" fontId="0" fillId="5" borderId="0" xfId="0" applyFill="1" applyBorder="1" applyAlignment="1">
      <alignment horizontal="left"/>
    </xf>
    <xf numFmtId="0" fontId="10" fillId="4" borderId="0" xfId="0" applyFont="1" applyFill="1" applyAlignment="1">
      <alignment horizontal="center"/>
    </xf>
    <xf numFmtId="0" fontId="14" fillId="6" borderId="4" xfId="1" applyBorder="1" applyAlignment="1">
      <alignment horizontal="left" wrapText="1"/>
    </xf>
  </cellXfs>
  <cellStyles count="2">
    <cellStyle name="40% - Accent1" xfId="1" builtinId="31"/>
    <cellStyle name="Normal" xfId="0" builtinId="0"/>
  </cellStyles>
  <dxfs count="12">
    <dxf>
      <font>
        <strike val="0"/>
        <color rgb="FF00B050"/>
      </font>
    </dxf>
    <dxf>
      <font>
        <color rgb="FFFF0000"/>
      </font>
    </dxf>
    <dxf>
      <font>
        <strike val="0"/>
        <color rgb="FF00B050"/>
      </font>
    </dxf>
    <dxf>
      <font>
        <color rgb="FFFF000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9E1BD"/>
      <color rgb="FFA8D08D"/>
      <color rgb="FF043F2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548640</xdr:colOff>
          <xdr:row>4</xdr:row>
          <xdr:rowOff>106680</xdr:rowOff>
        </xdr:from>
        <xdr:to>
          <xdr:col>7</xdr:col>
          <xdr:colOff>495300</xdr:colOff>
          <xdr:row>8</xdr:row>
          <xdr:rowOff>137160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548640</xdr:colOff>
          <xdr:row>10</xdr:row>
          <xdr:rowOff>68580</xdr:rowOff>
        </xdr:from>
        <xdr:to>
          <xdr:col>7</xdr:col>
          <xdr:colOff>495300</xdr:colOff>
          <xdr:row>14</xdr:row>
          <xdr:rowOff>99060</xdr:rowOff>
        </xdr:to>
        <xdr:sp macro="" textlink="">
          <xdr:nvSpPr>
            <xdr:cNvPr id="7171" name="CommandButton2"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4</xdr:row>
          <xdr:rowOff>106680</xdr:rowOff>
        </xdr:from>
        <xdr:to>
          <xdr:col>14</xdr:col>
          <xdr:colOff>38100</xdr:colOff>
          <xdr:row>8</xdr:row>
          <xdr:rowOff>137160</xdr:rowOff>
        </xdr:to>
        <xdr:sp macro="" textlink="">
          <xdr:nvSpPr>
            <xdr:cNvPr id="7172" name="CommandButton3"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10</xdr:row>
          <xdr:rowOff>68580</xdr:rowOff>
        </xdr:from>
        <xdr:to>
          <xdr:col>14</xdr:col>
          <xdr:colOff>38100</xdr:colOff>
          <xdr:row>14</xdr:row>
          <xdr:rowOff>99060</xdr:rowOff>
        </xdr:to>
        <xdr:sp macro="" textlink="">
          <xdr:nvSpPr>
            <xdr:cNvPr id="7173" name="CommandButton4"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91440</xdr:colOff>
          <xdr:row>5</xdr:row>
          <xdr:rowOff>0</xdr:rowOff>
        </xdr:from>
        <xdr:to>
          <xdr:col>8</xdr:col>
          <xdr:colOff>350520</xdr:colOff>
          <xdr:row>7</xdr:row>
          <xdr:rowOff>167640</xdr:rowOff>
        </xdr:to>
        <xdr:sp macro="" textlink="">
          <xdr:nvSpPr>
            <xdr:cNvPr id="6145" name="Check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1</xdr:row>
          <xdr:rowOff>129540</xdr:rowOff>
        </xdr:from>
        <xdr:to>
          <xdr:col>8</xdr:col>
          <xdr:colOff>220980</xdr:colOff>
          <xdr:row>5</xdr:row>
          <xdr:rowOff>160020</xdr:rowOff>
        </xdr:to>
        <xdr:sp macro="" textlink="">
          <xdr:nvSpPr>
            <xdr:cNvPr id="6146" name="CommandButton1"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99060</xdr:colOff>
          <xdr:row>7</xdr:row>
          <xdr:rowOff>7620</xdr:rowOff>
        </xdr:from>
        <xdr:to>
          <xdr:col>8</xdr:col>
          <xdr:colOff>182880</xdr:colOff>
          <xdr:row>11</xdr:row>
          <xdr:rowOff>38100</xdr:rowOff>
        </xdr:to>
        <xdr:sp macro="" textlink="">
          <xdr:nvSpPr>
            <xdr:cNvPr id="6147" name="CommandButton2"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29210</xdr:rowOff>
        </xdr:from>
        <xdr:to>
          <xdr:col>1</xdr:col>
          <xdr:colOff>661670</xdr:colOff>
          <xdr:row>21</xdr:row>
          <xdr:rowOff>36830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09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627380</xdr:colOff>
          <xdr:row>18</xdr:row>
          <xdr:rowOff>29210</xdr:rowOff>
        </xdr:from>
        <xdr:to>
          <xdr:col>13</xdr:col>
          <xdr:colOff>656590</xdr:colOff>
          <xdr:row>21</xdr:row>
          <xdr:rowOff>29210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09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29210</xdr:rowOff>
        </xdr:from>
        <xdr:to>
          <xdr:col>1</xdr:col>
          <xdr:colOff>364490</xdr:colOff>
          <xdr:row>21</xdr:row>
          <xdr:rowOff>36830</xdr:rowOff>
        </xdr:to>
        <xdr:sp macro="" textlink="">
          <xdr:nvSpPr>
            <xdr:cNvPr id="22529" name="CommandButton1" hidden="1">
              <a:extLst>
                <a:ext uri="{63B3BB69-23CF-44E3-9099-C40C66FF867C}">
                  <a14:compatExt spid="_x0000_s22529"/>
                </a:ext>
                <a:ext uri="{FF2B5EF4-FFF2-40B4-BE49-F238E27FC236}">
                  <a16:creationId xmlns:a16="http://schemas.microsoft.com/office/drawing/2014/main" id="{00000000-0008-0000-0B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848360</xdr:colOff>
          <xdr:row>18</xdr:row>
          <xdr:rowOff>29210</xdr:rowOff>
        </xdr:from>
        <xdr:to>
          <xdr:col>11</xdr:col>
          <xdr:colOff>229870</xdr:colOff>
          <xdr:row>21</xdr:row>
          <xdr:rowOff>36830</xdr:rowOff>
        </xdr:to>
        <xdr:sp macro="" textlink="">
          <xdr:nvSpPr>
            <xdr:cNvPr id="22530" name="CommandButton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29210</xdr:rowOff>
        </xdr:from>
        <xdr:to>
          <xdr:col>1</xdr:col>
          <xdr:colOff>364490</xdr:colOff>
          <xdr:row>21</xdr:row>
          <xdr:rowOff>29210</xdr:rowOff>
        </xdr:to>
        <xdr:sp macro="" textlink="">
          <xdr:nvSpPr>
            <xdr:cNvPr id="23553" name="CommandButton1" hidden="1">
              <a:extLst>
                <a:ext uri="{63B3BB69-23CF-44E3-9099-C40C66FF867C}">
                  <a14:compatExt spid="_x0000_s23553"/>
                </a:ext>
                <a:ext uri="{FF2B5EF4-FFF2-40B4-BE49-F238E27FC236}">
                  <a16:creationId xmlns:a16="http://schemas.microsoft.com/office/drawing/2014/main" id="{00000000-0008-0000-0D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848360</xdr:colOff>
          <xdr:row>18</xdr:row>
          <xdr:rowOff>29210</xdr:rowOff>
        </xdr:from>
        <xdr:to>
          <xdr:col>11</xdr:col>
          <xdr:colOff>229870</xdr:colOff>
          <xdr:row>21</xdr:row>
          <xdr:rowOff>36830</xdr:rowOff>
        </xdr:to>
        <xdr:sp macro="" textlink="">
          <xdr:nvSpPr>
            <xdr:cNvPr id="23554" name="CommandButton2" hidden="1">
              <a:extLst>
                <a:ext uri="{63B3BB69-23CF-44E3-9099-C40C66FF867C}">
                  <a14:compatExt spid="_x0000_s23554"/>
                </a:ext>
                <a:ext uri="{FF2B5EF4-FFF2-40B4-BE49-F238E27FC236}">
                  <a16:creationId xmlns:a16="http://schemas.microsoft.com/office/drawing/2014/main" id="{00000000-0008-0000-0D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15240</xdr:rowOff>
        </xdr:from>
        <xdr:to>
          <xdr:col>1</xdr:col>
          <xdr:colOff>129540</xdr:colOff>
          <xdr:row>21</xdr:row>
          <xdr:rowOff>15240</xdr:rowOff>
        </xdr:to>
        <xdr:sp macro="" textlink="">
          <xdr:nvSpPr>
            <xdr:cNvPr id="24577" name="CommandButton1" hidden="1">
              <a:extLst>
                <a:ext uri="{63B3BB69-23CF-44E3-9099-C40C66FF867C}">
                  <a14:compatExt spid="_x0000_s24577"/>
                </a:ext>
                <a:ext uri="{FF2B5EF4-FFF2-40B4-BE49-F238E27FC236}">
                  <a16:creationId xmlns:a16="http://schemas.microsoft.com/office/drawing/2014/main" id="{00000000-0008-0000-0F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762000</xdr:colOff>
          <xdr:row>18</xdr:row>
          <xdr:rowOff>15240</xdr:rowOff>
        </xdr:from>
        <xdr:to>
          <xdr:col>11</xdr:col>
          <xdr:colOff>83820</xdr:colOff>
          <xdr:row>21</xdr:row>
          <xdr:rowOff>22860</xdr:rowOff>
        </xdr:to>
        <xdr:sp macro="" textlink="">
          <xdr:nvSpPr>
            <xdr:cNvPr id="24578" name="CommandButton2" hidden="1">
              <a:extLst>
                <a:ext uri="{63B3BB69-23CF-44E3-9099-C40C66FF867C}">
                  <a14:compatExt spid="_x0000_s24578"/>
                </a:ext>
                <a:ext uri="{FF2B5EF4-FFF2-40B4-BE49-F238E27FC236}">
                  <a16:creationId xmlns:a16="http://schemas.microsoft.com/office/drawing/2014/main" id="{00000000-0008-0000-0F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15240</xdr:rowOff>
        </xdr:from>
        <xdr:to>
          <xdr:col>1</xdr:col>
          <xdr:colOff>243840</xdr:colOff>
          <xdr:row>21</xdr:row>
          <xdr:rowOff>15240</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11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106680</xdr:colOff>
          <xdr:row>18</xdr:row>
          <xdr:rowOff>15240</xdr:rowOff>
        </xdr:from>
        <xdr:to>
          <xdr:col>12</xdr:col>
          <xdr:colOff>281940</xdr:colOff>
          <xdr:row>21</xdr:row>
          <xdr:rowOff>15240</xdr:rowOff>
        </xdr:to>
        <xdr:sp macro="" textlink="">
          <xdr:nvSpPr>
            <xdr:cNvPr id="25602" name="CommandButton2" hidden="1">
              <a:extLst>
                <a:ext uri="{63B3BB69-23CF-44E3-9099-C40C66FF867C}">
                  <a14:compatExt spid="_x0000_s25602"/>
                </a:ext>
                <a:ext uri="{FF2B5EF4-FFF2-40B4-BE49-F238E27FC236}">
                  <a16:creationId xmlns:a16="http://schemas.microsoft.com/office/drawing/2014/main" id="{00000000-0008-0000-11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7620</xdr:rowOff>
        </xdr:from>
        <xdr:to>
          <xdr:col>1</xdr:col>
          <xdr:colOff>426720</xdr:colOff>
          <xdr:row>21</xdr:row>
          <xdr:rowOff>7620</xdr:rowOff>
        </xdr:to>
        <xdr:sp macro="" textlink="">
          <xdr:nvSpPr>
            <xdr:cNvPr id="37889" name="CommandButton1"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18</xdr:row>
          <xdr:rowOff>7620</xdr:rowOff>
        </xdr:from>
        <xdr:to>
          <xdr:col>12</xdr:col>
          <xdr:colOff>297180</xdr:colOff>
          <xdr:row>21</xdr:row>
          <xdr:rowOff>15240</xdr:rowOff>
        </xdr:to>
        <xdr:sp macro="" textlink="">
          <xdr:nvSpPr>
            <xdr:cNvPr id="37890" name="CommandButton2" hidden="1">
              <a:extLst>
                <a:ext uri="{63B3BB69-23CF-44E3-9099-C40C66FF867C}">
                  <a14:compatExt spid="_x0000_s37890"/>
                </a:ext>
                <a:ext uri="{FF2B5EF4-FFF2-40B4-BE49-F238E27FC236}">
                  <a16:creationId xmlns:a16="http://schemas.microsoft.com/office/drawing/2014/main" id="{00000000-0008-0000-1300-000002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Silas Luis Horatio Hansch-Maher (Student)" id="{9D19B4AC-1295-4B3E-9681-7728C1E1637E}" userId="S::a1827175@adelaide.edu.au::41b25f7d-9404-45c4-8d2f-7d67453dd4da"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3-07-09T11:55:28.20" personId="{9D19B4AC-1295-4B3E-9681-7728C1E1637E}" id="{B0CC72F2-BA6D-4E63-BB3D-2461D44F7F5D}">
    <text>The roll only shows the two person teams, I need to list the individual debaters too for reorganisation purposes, so I do that here</text>
  </threadedComment>
  <threadedComment ref="C2" dT="2023-07-09T11:56:25.52" personId="{9D19B4AC-1295-4B3E-9681-7728C1E1637E}" id="{3F9F5756-85B4-4501-8023-CE4A1F50DBE3}">
    <text>This uses a BYROW function which, for each row, looks up the team in column B, and sees if there's a Y or N next to it on the roll sheet in column K</text>
  </threadedComment>
  <threadedComment ref="E2" dT="2023-07-09T11:55:42.03" personId="{9D19B4AC-1295-4B3E-9681-7728C1E1637E}" id="{818BC614-0CF7-4083-8D92-244F2232AEA3}">
    <text>This is just a filter of all the one person teams who aren't iron personing</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3-07-09T11:57:02.49" personId="{9D19B4AC-1295-4B3E-9681-7728C1E1637E}" id="{AD45C11E-1E11-4AD5-B331-D82F87CC94E6}">
    <text>This randomly lists the teams of one</text>
  </threadedComment>
  <threadedComment ref="C2" dT="2023-07-09T11:57:10.79" personId="{9D19B4AC-1295-4B3E-9681-7728C1E1637E}" id="{F67DDAE0-653F-4D91-9E8B-7E4F3DE0912F}">
    <text>This lists the teams of two</text>
  </threadedComment>
  <threadedComment ref="E2" dT="2023-07-09T11:57:28.57" personId="{9D19B4AC-1295-4B3E-9681-7728C1E1637E}" id="{EDC4FBCE-655E-45FA-8837-194A5271A273}">
    <text>This assigns the teams of one to the adjacent teams of two</text>
  </threadedComment>
  <threadedComment ref="H2" dT="2023-07-09T11:57:49.38" personId="{9D19B4AC-1295-4B3E-9681-7728C1E1637E}" id="{5B26A1CE-270B-4FF1-8171-0EB63690EF14}">
    <text>This is the updated team list, it includes both new teams of three, and teams of two that still exist. The latter is shown because it's used on future sheets. The teams of just 3 are shown in K2#</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3-07-09T11:58:27.87" personId="{9D19B4AC-1295-4B3E-9681-7728C1E1637E}" id="{EB070729-4AA1-48BE-9BBB-7454A92D7872}">
    <text>This lists any teams of 2 that remain after the 2+1 sheet</text>
  </threadedComment>
  <threadedComment ref="D2" dT="2023-07-09T11:58:57.53" personId="{9D19B4AC-1295-4B3E-9681-7728C1E1637E}" id="{B73DF935-ECEC-4A34-8864-1DE0E4EA3B71}">
    <text>This lists the remaining teams in a random order</text>
  </threadedComment>
  <threadedComment ref="F2" dT="2023-07-09T11:59:29.50" personId="{9D19B4AC-1295-4B3E-9681-7728C1E1637E}" id="{E2FF6D90-5DF8-4C17-B1C4-BDD5C9CAEDE5}">
    <text>The teams listed in an odd position get to remain on the draw, the even teams have their team name changed</text>
  </threadedComment>
  <threadedComment ref="J2" dT="2023-07-09T11:59:45.14" personId="{9D19B4AC-1295-4B3E-9681-7728C1E1637E}" id="{A34ECC6F-EC3C-458C-BE37-404D4D4E0725}">
    <text>This and M2# are used by the spreadsheet later on to display the final teams</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3-07-09T12:00:03.93" personId="{9D19B4AC-1295-4B3E-9681-7728C1E1637E}" id="{8D500FE1-0EE5-460A-9906-7BF9223F8CC6}">
    <text>This lists the remaining teams of 1 debater that weren't able to be reassigned to a team of 2</text>
  </threadedComment>
  <threadedComment ref="F2" dT="2023-07-09T12:00:45.29" personId="{9D19B4AC-1295-4B3E-9681-7728C1E1637E}" id="{7AC3DEBC-685E-404B-97E5-402E2C1C4FB2}">
    <text>This function reassigns teams using the MOD of the row divided by three to decide whether to keep the team name the same, or to print the team name one or two cells higher</text>
  </threadedComment>
  <threadedComment ref="H2" dT="2023-07-09T12:00:57.86" personId="{9D19B4AC-1295-4B3E-9681-7728C1E1637E}" id="{B5EF036F-D280-471D-874D-5462854E0426}">
    <text>This then prints the speakers next to their reassigned teams</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3-07-09T12:01:22.41" personId="{9D19B4AC-1295-4B3E-9681-7728C1E1637E}" id="{71948EB1-1159-4B96-B754-2B927C217902}">
    <text>This lists the final teams and the speakers in each team</text>
  </threadedComment>
  <threadedComment ref="E2" dT="2023-07-09T12:01:35.08" personId="{9D19B4AC-1295-4B3E-9681-7728C1E1637E}" id="{50E39191-4ECF-45A2-B204-7D4E34B8EE66}">
    <text>This lists all the teams found in column B</text>
  </threadedComment>
  <threadedComment ref="F2" dT="2023-07-09T12:02:04.46" personId="{9D19B4AC-1295-4B3E-9681-7728C1E1637E}" id="{48177D78-EAA3-487E-A0D4-06D51A78ADA5}">
    <text>This assigns each of the teams shown a random number that is used to assign them to a side in a debate. Odd numbers are aff teams, even numbers are neg teams</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1B76543-CF84-45E9-BFFA-DB16FA927758}">
  <we:reference id="a19c72e1-6786-40f7-b977-f44d74d31275" version="2.1.0.0" store="EXCatalog" storeType="EXCatalog"/>
  <we:alternateReferences>
    <we:reference id="WA104379279" version="2.1.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image" Target="../media/image7.emf"/></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0.xml"/><Relationship Id="rId2" Type="http://schemas.openxmlformats.org/officeDocument/2006/relationships/vmlDrawing" Target="../drawings/vmlDrawing9.vml"/><Relationship Id="rId1" Type="http://schemas.openxmlformats.org/officeDocument/2006/relationships/drawing" Target="../drawings/drawing4.xml"/><Relationship Id="rId6" Type="http://schemas.openxmlformats.org/officeDocument/2006/relationships/image" Target="../media/image11.emf"/><Relationship Id="rId5" Type="http://schemas.openxmlformats.org/officeDocument/2006/relationships/control" Target="../activeX/activeX11.xml"/><Relationship Id="rId4" Type="http://schemas.openxmlformats.org/officeDocument/2006/relationships/image" Target="../media/image10.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2.xml"/><Relationship Id="rId2" Type="http://schemas.openxmlformats.org/officeDocument/2006/relationships/vmlDrawing" Target="../drawings/vmlDrawing10.vml"/><Relationship Id="rId1" Type="http://schemas.openxmlformats.org/officeDocument/2006/relationships/drawing" Target="../drawings/drawing5.xml"/><Relationship Id="rId6" Type="http://schemas.openxmlformats.org/officeDocument/2006/relationships/image" Target="../media/image13.emf"/><Relationship Id="rId5" Type="http://schemas.openxmlformats.org/officeDocument/2006/relationships/control" Target="../activeX/activeX13.xml"/><Relationship Id="rId4" Type="http://schemas.openxmlformats.org/officeDocument/2006/relationships/image" Target="../media/image12.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1.vml"/><Relationship Id="rId1" Type="http://schemas.openxmlformats.org/officeDocument/2006/relationships/drawing" Target="../drawings/drawing6.xml"/><Relationship Id="rId6" Type="http://schemas.openxmlformats.org/officeDocument/2006/relationships/image" Target="../media/image15.emf"/><Relationship Id="rId5" Type="http://schemas.openxmlformats.org/officeDocument/2006/relationships/control" Target="../activeX/activeX15.xml"/><Relationship Id="rId4" Type="http://schemas.openxmlformats.org/officeDocument/2006/relationships/image" Target="../media/image14.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6.xml"/><Relationship Id="rId2" Type="http://schemas.openxmlformats.org/officeDocument/2006/relationships/vmlDrawing" Target="../drawings/vmlDrawing12.vml"/><Relationship Id="rId1" Type="http://schemas.openxmlformats.org/officeDocument/2006/relationships/drawing" Target="../drawings/drawing7.xml"/><Relationship Id="rId6" Type="http://schemas.openxmlformats.org/officeDocument/2006/relationships/image" Target="../media/image17.emf"/><Relationship Id="rId5" Type="http://schemas.openxmlformats.org/officeDocument/2006/relationships/control" Target="../activeX/activeX17.xml"/><Relationship Id="rId4" Type="http://schemas.openxmlformats.org/officeDocument/2006/relationships/image" Target="../media/image16.emf"/></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13.vml"/><Relationship Id="rId1" Type="http://schemas.openxmlformats.org/officeDocument/2006/relationships/drawing" Target="../drawings/drawing8.xml"/><Relationship Id="rId6" Type="http://schemas.openxmlformats.org/officeDocument/2006/relationships/image" Target="../media/image19.emf"/><Relationship Id="rId5" Type="http://schemas.openxmlformats.org/officeDocument/2006/relationships/control" Target="../activeX/activeX19.xml"/><Relationship Id="rId4" Type="http://schemas.openxmlformats.org/officeDocument/2006/relationships/image" Target="../media/image18.emf"/></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29BDB-A5D8-4F7B-AF5F-E96FDC045ABC}">
  <sheetPr codeName="Sheet6"/>
  <dimension ref="F1:N6"/>
  <sheetViews>
    <sheetView showGridLines="0" tabSelected="1" workbookViewId="0">
      <selection activeCell="E25" sqref="E25"/>
    </sheetView>
  </sheetViews>
  <sheetFormatPr defaultRowHeight="14.4" x14ac:dyDescent="0.3"/>
  <sheetData>
    <row r="1" spans="6:14" x14ac:dyDescent="0.3">
      <c r="F1" s="44" t="s">
        <v>25</v>
      </c>
      <c r="G1" s="44"/>
      <c r="H1" s="44"/>
      <c r="I1" s="44"/>
      <c r="J1" s="44"/>
      <c r="K1" s="44"/>
      <c r="L1" s="44"/>
      <c r="M1" s="44"/>
      <c r="N1" s="44"/>
    </row>
    <row r="2" spans="6:14" x14ac:dyDescent="0.3">
      <c r="F2" s="44"/>
      <c r="G2" s="44"/>
      <c r="H2" s="44"/>
      <c r="I2" s="44"/>
      <c r="J2" s="44"/>
      <c r="K2" s="44"/>
      <c r="L2" s="44"/>
      <c r="M2" s="44"/>
      <c r="N2" s="44"/>
    </row>
    <row r="3" spans="6:14" x14ac:dyDescent="0.3">
      <c r="F3" s="44"/>
      <c r="G3" s="44"/>
      <c r="H3" s="44"/>
      <c r="I3" s="44"/>
      <c r="J3" s="44"/>
      <c r="K3" s="44"/>
      <c r="L3" s="44"/>
      <c r="M3" s="44"/>
      <c r="N3" s="44"/>
    </row>
    <row r="4" spans="6:14" x14ac:dyDescent="0.3">
      <c r="F4" s="44"/>
      <c r="G4" s="44"/>
      <c r="H4" s="44"/>
      <c r="I4" s="44"/>
      <c r="J4" s="44"/>
      <c r="K4" s="44"/>
      <c r="L4" s="44"/>
      <c r="M4" s="44"/>
      <c r="N4" s="44"/>
    </row>
    <row r="5" spans="6:14" x14ac:dyDescent="0.3">
      <c r="F5" s="44"/>
      <c r="G5" s="44"/>
      <c r="H5" s="44"/>
      <c r="I5" s="44"/>
      <c r="J5" s="44"/>
      <c r="K5" s="44"/>
      <c r="L5" s="44"/>
      <c r="M5" s="44"/>
      <c r="N5" s="44"/>
    </row>
    <row r="6" spans="6:14" x14ac:dyDescent="0.3">
      <c r="F6" s="44"/>
      <c r="G6" s="44"/>
      <c r="H6" s="44"/>
      <c r="I6" s="44"/>
      <c r="J6" s="44"/>
      <c r="K6" s="44"/>
      <c r="L6" s="44"/>
      <c r="M6" s="44"/>
      <c r="N6" s="44"/>
    </row>
  </sheetData>
  <mergeCells count="1">
    <mergeCell ref="F1:N6"/>
  </mergeCells>
  <pageMargins left="0.7" right="0.7" top="0.75" bottom="0.75" header="0.3" footer="0.3"/>
  <drawing r:id="rId1"/>
  <legacyDrawing r:id="rId2"/>
  <controls>
    <mc:AlternateContent xmlns:mc="http://schemas.openxmlformats.org/markup-compatibility/2006">
      <mc:Choice Requires="x14">
        <control shapeId="7173" r:id="rId3" name="CommandButton4">
          <controlPr defaultSize="0" autoLine="0" r:id="rId4">
            <anchor moveWithCells="1">
              <from>
                <xdr:col>11</xdr:col>
                <xdr:colOff>91440</xdr:colOff>
                <xdr:row>10</xdr:row>
                <xdr:rowOff>68580</xdr:rowOff>
              </from>
              <to>
                <xdr:col>14</xdr:col>
                <xdr:colOff>38100</xdr:colOff>
                <xdr:row>14</xdr:row>
                <xdr:rowOff>99060</xdr:rowOff>
              </to>
            </anchor>
          </controlPr>
        </control>
      </mc:Choice>
      <mc:Fallback>
        <control shapeId="7173" r:id="rId3" name="CommandButton4"/>
      </mc:Fallback>
    </mc:AlternateContent>
    <mc:AlternateContent xmlns:mc="http://schemas.openxmlformats.org/markup-compatibility/2006">
      <mc:Choice Requires="x14">
        <control shapeId="7172" r:id="rId5" name="CommandButton3">
          <controlPr defaultSize="0" autoLine="0" r:id="rId6">
            <anchor moveWithCells="1">
              <from>
                <xdr:col>11</xdr:col>
                <xdr:colOff>91440</xdr:colOff>
                <xdr:row>4</xdr:row>
                <xdr:rowOff>106680</xdr:rowOff>
              </from>
              <to>
                <xdr:col>14</xdr:col>
                <xdr:colOff>38100</xdr:colOff>
                <xdr:row>8</xdr:row>
                <xdr:rowOff>137160</xdr:rowOff>
              </to>
            </anchor>
          </controlPr>
        </control>
      </mc:Choice>
      <mc:Fallback>
        <control shapeId="7172" r:id="rId5" name="CommandButton3"/>
      </mc:Fallback>
    </mc:AlternateContent>
    <mc:AlternateContent xmlns:mc="http://schemas.openxmlformats.org/markup-compatibility/2006">
      <mc:Choice Requires="x14">
        <control shapeId="7171" r:id="rId7" name="CommandButton2">
          <controlPr defaultSize="0" autoLine="0" r:id="rId8">
            <anchor moveWithCells="1">
              <from>
                <xdr:col>4</xdr:col>
                <xdr:colOff>548640</xdr:colOff>
                <xdr:row>10</xdr:row>
                <xdr:rowOff>68580</xdr:rowOff>
              </from>
              <to>
                <xdr:col>7</xdr:col>
                <xdr:colOff>495300</xdr:colOff>
                <xdr:row>14</xdr:row>
                <xdr:rowOff>99060</xdr:rowOff>
              </to>
            </anchor>
          </controlPr>
        </control>
      </mc:Choice>
      <mc:Fallback>
        <control shapeId="7171" r:id="rId7" name="CommandButton2"/>
      </mc:Fallback>
    </mc:AlternateContent>
    <mc:AlternateContent xmlns:mc="http://schemas.openxmlformats.org/markup-compatibility/2006">
      <mc:Choice Requires="x14">
        <control shapeId="7169" r:id="rId9" name="CommandButton1">
          <controlPr defaultSize="0" autoFill="0" autoLine="0" r:id="rId10">
            <anchor moveWithCells="1">
              <from>
                <xdr:col>4</xdr:col>
                <xdr:colOff>548640</xdr:colOff>
                <xdr:row>4</xdr:row>
                <xdr:rowOff>106680</xdr:rowOff>
              </from>
              <to>
                <xdr:col>7</xdr:col>
                <xdr:colOff>495300</xdr:colOff>
                <xdr:row>8</xdr:row>
                <xdr:rowOff>137160</xdr:rowOff>
              </to>
            </anchor>
          </controlPr>
        </control>
      </mc:Choice>
      <mc:Fallback>
        <control shapeId="7169" r:id="rId9"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B1925-8B96-4E44-9CE6-BA28AD628306}">
  <sheetPr codeName="Sheet1"/>
  <dimension ref="A1:N49"/>
  <sheetViews>
    <sheetView topLeftCell="B1" workbookViewId="0">
      <selection activeCell="K3" sqref="K3"/>
    </sheetView>
  </sheetViews>
  <sheetFormatPr defaultColWidth="17.6640625" defaultRowHeight="14.4" x14ac:dyDescent="0.3"/>
  <cols>
    <col min="1" max="1" width="9.21875" hidden="1" customWidth="1"/>
    <col min="2" max="2" width="10.44140625" customWidth="1"/>
    <col min="3" max="3" width="6.44140625" customWidth="1"/>
    <col min="4" max="4" width="9.21875" customWidth="1"/>
    <col min="5" max="5" width="3.5546875" customWidth="1"/>
    <col min="6" max="6" width="6.21875" customWidth="1"/>
    <col min="7" max="7" width="5.77734375" customWidth="1"/>
    <col min="8" max="8" width="9" customWidth="1"/>
    <col min="9" max="9" width="8.21875" customWidth="1"/>
    <col min="10" max="10" width="17.6640625" customWidth="1"/>
    <col min="11" max="11" width="13.77734375" customWidth="1"/>
    <col min="12" max="12" width="18.109375" customWidth="1"/>
    <col min="13" max="13" width="5.21875" customWidth="1"/>
    <col min="14" max="14" width="14" customWidth="1"/>
    <col min="15" max="15" width="17.6640625" customWidth="1"/>
  </cols>
  <sheetData>
    <row r="1" spans="1:14" x14ac:dyDescent="0.3">
      <c r="A1" t="s">
        <v>0</v>
      </c>
      <c r="B1" t="s">
        <v>19</v>
      </c>
      <c r="C1" s="3" t="s">
        <v>20</v>
      </c>
      <c r="D1" t="s">
        <v>24</v>
      </c>
      <c r="J1" s="38" t="s">
        <v>15</v>
      </c>
      <c r="K1" s="39" t="s">
        <v>16</v>
      </c>
      <c r="L1" s="40" t="s">
        <v>17</v>
      </c>
      <c r="M1" s="41" t="s">
        <v>20</v>
      </c>
      <c r="N1" s="39" t="s">
        <v>16</v>
      </c>
    </row>
    <row r="2" spans="1:14" x14ac:dyDescent="0.3">
      <c r="A2" t="str" cm="1">
        <f t="array" ref="A2:A13">_xlfn.BYROW(_xlfn._xlws.FILTER(B:D, (B:B&lt;&gt;"")*(B:B&lt;&gt;B1), ""), _xlfn.LAMBDA(_xlpm.x, IF(AND(COUNTIFS(C:C, INDEX(_xlpm.x, 0, 2), D:D, "Y")=2, INDEX(_xlpm.x, 0, 3)="Y"), 2, IF(AND(COUNTIFS(C:C, INDEX(_xlpm.x, 0, 2), D:D, "Y")=1, INDEX(_xlpm.x, 0, 3)="Y"), 1, "N"))))</f>
        <v>N</v>
      </c>
      <c r="B2" s="52" t="s">
        <v>70</v>
      </c>
      <c r="C2" s="32">
        <v>1</v>
      </c>
      <c r="D2" t="s">
        <v>82</v>
      </c>
      <c r="G2" t="b">
        <v>1</v>
      </c>
      <c r="J2" s="3" cm="1">
        <f t="array" ref="J2">IF(G2=TRUE, _xlfn.UNIQUE(_xlfn._xlws.FILTER(C:C, A:A=2, "")), "")</f>
        <v>3</v>
      </c>
      <c r="K2" s="37" t="s">
        <v>82</v>
      </c>
      <c r="L2" t="str" cm="1">
        <f t="array" ref="L2">IF(G2=TRUE, _xlfn._xlws.FILTER(B:C, A:A=1, ""), "")</f>
        <v/>
      </c>
      <c r="N2" s="37"/>
    </row>
    <row r="3" spans="1:14" x14ac:dyDescent="0.3">
      <c r="A3" t="str">
        <v>N</v>
      </c>
      <c r="B3" s="52" t="s">
        <v>71</v>
      </c>
      <c r="C3" s="32">
        <v>1</v>
      </c>
      <c r="D3" t="s">
        <v>82</v>
      </c>
      <c r="J3" s="3"/>
      <c r="K3" s="37"/>
      <c r="N3" s="37"/>
    </row>
    <row r="4" spans="1:14" x14ac:dyDescent="0.3">
      <c r="A4" t="str">
        <v>N</v>
      </c>
      <c r="B4" s="52" t="s">
        <v>72</v>
      </c>
      <c r="C4" s="32">
        <v>1</v>
      </c>
      <c r="D4" t="s">
        <v>82</v>
      </c>
      <c r="J4" s="3"/>
      <c r="K4" s="37"/>
      <c r="N4" s="37"/>
    </row>
    <row r="5" spans="1:14" x14ac:dyDescent="0.3">
      <c r="A5" t="str">
        <v>N</v>
      </c>
      <c r="B5" s="52" t="s">
        <v>73</v>
      </c>
      <c r="C5" s="32">
        <v>2</v>
      </c>
      <c r="D5" t="s">
        <v>82</v>
      </c>
      <c r="J5" s="3"/>
      <c r="K5" s="37"/>
      <c r="N5" s="37"/>
    </row>
    <row r="6" spans="1:14" x14ac:dyDescent="0.3">
      <c r="A6" t="str">
        <v>N</v>
      </c>
      <c r="B6" s="52" t="s">
        <v>74</v>
      </c>
      <c r="C6" s="32">
        <v>2</v>
      </c>
      <c r="D6" t="s">
        <v>82</v>
      </c>
    </row>
    <row r="7" spans="1:14" x14ac:dyDescent="0.3">
      <c r="A7" t="str">
        <v>N</v>
      </c>
      <c r="B7" s="52" t="s">
        <v>75</v>
      </c>
      <c r="C7" s="32">
        <v>2</v>
      </c>
      <c r="D7" t="s">
        <v>82</v>
      </c>
    </row>
    <row r="8" spans="1:14" x14ac:dyDescent="0.3">
      <c r="A8" t="str">
        <v>N</v>
      </c>
      <c r="B8" s="52" t="s">
        <v>76</v>
      </c>
      <c r="C8" s="32">
        <v>2</v>
      </c>
      <c r="D8" t="s">
        <v>82</v>
      </c>
    </row>
    <row r="9" spans="1:14" x14ac:dyDescent="0.3">
      <c r="A9">
        <v>2</v>
      </c>
      <c r="B9" s="52" t="s">
        <v>77</v>
      </c>
      <c r="C9" s="32">
        <v>3</v>
      </c>
      <c r="D9" t="s">
        <v>82</v>
      </c>
    </row>
    <row r="10" spans="1:14" x14ac:dyDescent="0.3">
      <c r="A10">
        <v>2</v>
      </c>
      <c r="B10" s="52" t="s">
        <v>78</v>
      </c>
      <c r="C10" s="32">
        <v>3</v>
      </c>
      <c r="D10" t="s">
        <v>82</v>
      </c>
    </row>
    <row r="11" spans="1:14" x14ac:dyDescent="0.3">
      <c r="A11" t="str">
        <v>N</v>
      </c>
      <c r="B11" s="52" t="s">
        <v>79</v>
      </c>
      <c r="C11" s="32">
        <v>4</v>
      </c>
      <c r="D11" t="s">
        <v>82</v>
      </c>
    </row>
    <row r="12" spans="1:14" x14ac:dyDescent="0.3">
      <c r="A12" t="str">
        <v>N</v>
      </c>
      <c r="B12" s="52" t="s">
        <v>80</v>
      </c>
      <c r="C12" s="32">
        <v>4</v>
      </c>
      <c r="D12" t="s">
        <v>82</v>
      </c>
    </row>
    <row r="13" spans="1:14" x14ac:dyDescent="0.3">
      <c r="A13" t="str">
        <v>N</v>
      </c>
      <c r="B13" s="52" t="s">
        <v>81</v>
      </c>
      <c r="C13" s="32">
        <v>4</v>
      </c>
      <c r="D13" t="s">
        <v>82</v>
      </c>
    </row>
    <row r="14" spans="1:14" x14ac:dyDescent="0.3">
      <c r="B14" s="52"/>
      <c r="C14" s="32"/>
      <c r="D14" t="s">
        <v>69</v>
      </c>
    </row>
    <row r="15" spans="1:14" x14ac:dyDescent="0.3">
      <c r="B15" s="52"/>
      <c r="C15" s="32"/>
      <c r="D15" t="s">
        <v>69</v>
      </c>
    </row>
    <row r="16" spans="1:14" x14ac:dyDescent="0.3">
      <c r="B16" s="52"/>
      <c r="C16" s="32"/>
      <c r="D16" t="s">
        <v>69</v>
      </c>
    </row>
    <row r="17" spans="2:4" x14ac:dyDescent="0.3">
      <c r="B17" s="52"/>
      <c r="C17" s="32"/>
      <c r="D17" t="s">
        <v>69</v>
      </c>
    </row>
    <row r="18" spans="2:4" x14ac:dyDescent="0.3">
      <c r="B18" s="31"/>
      <c r="C18" s="32"/>
      <c r="D18" t="s">
        <v>69</v>
      </c>
    </row>
    <row r="19" spans="2:4" x14ac:dyDescent="0.3">
      <c r="B19" s="31"/>
      <c r="C19" s="32"/>
      <c r="D19" t="s">
        <v>69</v>
      </c>
    </row>
    <row r="20" spans="2:4" x14ac:dyDescent="0.3">
      <c r="B20" s="31"/>
      <c r="C20" s="32"/>
      <c r="D20" t="s">
        <v>69</v>
      </c>
    </row>
    <row r="21" spans="2:4" x14ac:dyDescent="0.3">
      <c r="B21" s="31"/>
      <c r="C21" s="32"/>
      <c r="D21" t="s">
        <v>69</v>
      </c>
    </row>
    <row r="22" spans="2:4" x14ac:dyDescent="0.3">
      <c r="B22" s="31"/>
      <c r="C22" s="32"/>
      <c r="D22" t="s">
        <v>69</v>
      </c>
    </row>
    <row r="23" spans="2:4" x14ac:dyDescent="0.3">
      <c r="B23" s="31"/>
      <c r="C23" s="32"/>
      <c r="D23" t="s">
        <v>69</v>
      </c>
    </row>
    <row r="24" spans="2:4" x14ac:dyDescent="0.3">
      <c r="B24" s="31"/>
      <c r="C24" s="32"/>
      <c r="D24" t="s">
        <v>69</v>
      </c>
    </row>
    <row r="25" spans="2:4" x14ac:dyDescent="0.3">
      <c r="B25" s="31"/>
      <c r="C25" s="32"/>
      <c r="D25" t="s">
        <v>69</v>
      </c>
    </row>
    <row r="26" spans="2:4" x14ac:dyDescent="0.3">
      <c r="B26" s="31"/>
      <c r="C26" s="32"/>
      <c r="D26" t="s">
        <v>69</v>
      </c>
    </row>
    <row r="27" spans="2:4" x14ac:dyDescent="0.3">
      <c r="B27" s="31"/>
      <c r="C27" s="32"/>
      <c r="D27" t="s">
        <v>69</v>
      </c>
    </row>
    <row r="28" spans="2:4" x14ac:dyDescent="0.3">
      <c r="B28" s="31"/>
      <c r="C28" s="32"/>
      <c r="D28" t="s">
        <v>69</v>
      </c>
    </row>
    <row r="29" spans="2:4" x14ac:dyDescent="0.3">
      <c r="B29" s="31"/>
      <c r="C29" s="32"/>
      <c r="D29" t="s">
        <v>69</v>
      </c>
    </row>
    <row r="30" spans="2:4" x14ac:dyDescent="0.3">
      <c r="B30" s="31"/>
      <c r="C30" s="32"/>
      <c r="D30" t="s">
        <v>69</v>
      </c>
    </row>
    <row r="31" spans="2:4" x14ac:dyDescent="0.3">
      <c r="B31" s="31"/>
      <c r="C31" s="32"/>
      <c r="D31" t="s">
        <v>69</v>
      </c>
    </row>
    <row r="32" spans="2:4" x14ac:dyDescent="0.3">
      <c r="B32" s="31"/>
      <c r="C32" s="32"/>
      <c r="D32" t="s">
        <v>69</v>
      </c>
    </row>
    <row r="33" spans="2:4" x14ac:dyDescent="0.3">
      <c r="B33" s="31"/>
      <c r="C33" s="32"/>
      <c r="D33" t="s">
        <v>69</v>
      </c>
    </row>
    <row r="34" spans="2:4" x14ac:dyDescent="0.3">
      <c r="B34" s="31"/>
      <c r="C34" s="32"/>
      <c r="D34" t="s">
        <v>69</v>
      </c>
    </row>
    <row r="35" spans="2:4" x14ac:dyDescent="0.3">
      <c r="B35" s="31"/>
      <c r="C35" s="32"/>
      <c r="D35" t="s">
        <v>69</v>
      </c>
    </row>
    <row r="36" spans="2:4" x14ac:dyDescent="0.3">
      <c r="B36" s="31"/>
      <c r="C36" s="32"/>
      <c r="D36" t="s">
        <v>69</v>
      </c>
    </row>
    <row r="37" spans="2:4" x14ac:dyDescent="0.3">
      <c r="B37" s="31"/>
      <c r="C37" s="32"/>
    </row>
    <row r="38" spans="2:4" x14ac:dyDescent="0.3">
      <c r="B38" s="31"/>
      <c r="C38" s="32"/>
    </row>
    <row r="39" spans="2:4" x14ac:dyDescent="0.3">
      <c r="B39" s="32"/>
      <c r="C39" s="32"/>
    </row>
    <row r="40" spans="2:4" x14ac:dyDescent="0.3">
      <c r="B40" s="31"/>
      <c r="C40" s="32"/>
    </row>
    <row r="41" spans="2:4" x14ac:dyDescent="0.3">
      <c r="B41" s="31"/>
      <c r="C41" s="32"/>
    </row>
    <row r="42" spans="2:4" x14ac:dyDescent="0.3">
      <c r="B42" s="31"/>
      <c r="C42" s="32"/>
    </row>
    <row r="43" spans="2:4" x14ac:dyDescent="0.3">
      <c r="B43" s="31"/>
      <c r="C43" s="32"/>
    </row>
    <row r="44" spans="2:4" x14ac:dyDescent="0.3">
      <c r="B44" s="31"/>
      <c r="C44" s="32"/>
    </row>
    <row r="45" spans="2:4" x14ac:dyDescent="0.3">
      <c r="B45" s="31"/>
      <c r="C45" s="32"/>
    </row>
    <row r="46" spans="2:4" x14ac:dyDescent="0.3">
      <c r="B46" s="31"/>
      <c r="C46" s="32"/>
    </row>
    <row r="47" spans="2:4" x14ac:dyDescent="0.3">
      <c r="B47" s="31"/>
      <c r="C47" s="32"/>
    </row>
    <row r="48" spans="2:4" x14ac:dyDescent="0.3">
      <c r="B48" s="31"/>
      <c r="C48" s="32"/>
    </row>
    <row r="49" spans="2:3" x14ac:dyDescent="0.3">
      <c r="B49" s="31"/>
      <c r="C49" s="32"/>
    </row>
  </sheetData>
  <conditionalFormatting sqref="D2:D28 D30">
    <cfRule type="cellIs" dxfId="11" priority="7" operator="equal">
      <formula>"Y"</formula>
    </cfRule>
    <cfRule type="cellIs" dxfId="10" priority="8" operator="equal">
      <formula>"N"</formula>
    </cfRule>
  </conditionalFormatting>
  <conditionalFormatting sqref="K1:K1048576">
    <cfRule type="cellIs" dxfId="9" priority="5" operator="equal">
      <formula>"Y"</formula>
    </cfRule>
    <cfRule type="cellIs" dxfId="8" priority="6" operator="equal">
      <formula>"N"</formula>
    </cfRule>
  </conditionalFormatting>
  <conditionalFormatting sqref="M1:M1048576">
    <cfRule type="cellIs" dxfId="7" priority="3" operator="equal">
      <formula>"Y"</formula>
    </cfRule>
    <cfRule type="cellIs" dxfId="6" priority="4" operator="equal">
      <formula>"N"</formula>
    </cfRule>
  </conditionalFormatting>
  <conditionalFormatting sqref="D1:D1048576">
    <cfRule type="cellIs" dxfId="5" priority="1" operator="equal">
      <formula>"Y"</formula>
    </cfRule>
    <cfRule type="cellIs" dxfId="4" priority="2" operator="equal">
      <formula>"N"</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6145" r:id="rId4" name="CheckBox1">
          <controlPr defaultSize="0" autoLine="0" linkedCell="G2" r:id="rId5">
            <anchor moveWithCells="1">
              <from>
                <xdr:col>5</xdr:col>
                <xdr:colOff>91440</xdr:colOff>
                <xdr:row>5</xdr:row>
                <xdr:rowOff>0</xdr:rowOff>
              </from>
              <to>
                <xdr:col>8</xdr:col>
                <xdr:colOff>350520</xdr:colOff>
                <xdr:row>7</xdr:row>
                <xdr:rowOff>167640</xdr:rowOff>
              </to>
            </anchor>
          </controlPr>
        </control>
      </mc:Choice>
      <mc:Fallback>
        <control shapeId="6145" r:id="rId4" name="CheckBox1"/>
      </mc:Fallback>
    </mc:AlternateContent>
    <mc:AlternateContent xmlns:mc="http://schemas.openxmlformats.org/markup-compatibility/2006">
      <mc:Choice Requires="x14">
        <control shapeId="6146" r:id="rId6" name="CommandButton1">
          <controlPr defaultSize="0" autoLine="0" r:id="rId7">
            <anchor moveWithCells="1">
              <from>
                <xdr:col>5</xdr:col>
                <xdr:colOff>137160</xdr:colOff>
                <xdr:row>1</xdr:row>
                <xdr:rowOff>129540</xdr:rowOff>
              </from>
              <to>
                <xdr:col>8</xdr:col>
                <xdr:colOff>220980</xdr:colOff>
                <xdr:row>5</xdr:row>
                <xdr:rowOff>160020</xdr:rowOff>
              </to>
            </anchor>
          </controlPr>
        </control>
      </mc:Choice>
      <mc:Fallback>
        <control shapeId="6146" r:id="rId6" name="CommandButton1"/>
      </mc:Fallback>
    </mc:AlternateContent>
    <mc:AlternateContent xmlns:mc="http://schemas.openxmlformats.org/markup-compatibility/2006">
      <mc:Choice Requires="x14">
        <control shapeId="6147" r:id="rId8" name="CommandButton2">
          <controlPr defaultSize="0" autoLine="0" r:id="rId9">
            <anchor moveWithCells="1">
              <from>
                <xdr:col>5</xdr:col>
                <xdr:colOff>99060</xdr:colOff>
                <xdr:row>7</xdr:row>
                <xdr:rowOff>7620</xdr:rowOff>
              </from>
              <to>
                <xdr:col>8</xdr:col>
                <xdr:colOff>182880</xdr:colOff>
                <xdr:row>11</xdr:row>
                <xdr:rowOff>38100</xdr:rowOff>
              </to>
            </anchor>
          </controlPr>
        </control>
      </mc:Choice>
      <mc:Fallback>
        <control shapeId="6147" r:id="rId8" name="CommandButton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A80A8-9E6E-464C-8209-5D1EB2E09ADA}">
  <sheetPr codeName="Sheet9"/>
  <dimension ref="A1:K200"/>
  <sheetViews>
    <sheetView workbookViewId="0"/>
  </sheetViews>
  <sheetFormatPr defaultColWidth="12" defaultRowHeight="14.4" x14ac:dyDescent="0.3"/>
  <cols>
    <col min="1" max="1" width="6.33203125" style="1" customWidth="1"/>
    <col min="2" max="3" width="12" style="1"/>
    <col min="4" max="4" width="6.33203125" style="1" customWidth="1"/>
    <col min="5" max="6" width="12" style="1"/>
    <col min="7" max="7" width="6.33203125" style="1" customWidth="1"/>
    <col min="8" max="16384" width="12" style="1"/>
  </cols>
  <sheetData>
    <row r="1" spans="1:11" x14ac:dyDescent="0.3">
      <c r="K1" s="36" t="s">
        <v>68</v>
      </c>
    </row>
    <row r="2" spans="1:11" x14ac:dyDescent="0.3">
      <c r="B2" s="34" t="s">
        <v>63</v>
      </c>
      <c r="C2" s="34" t="s">
        <v>64</v>
      </c>
      <c r="E2" s="34" t="s">
        <v>63</v>
      </c>
      <c r="F2" s="34" t="s">
        <v>64</v>
      </c>
      <c r="H2" s="34" t="s">
        <v>63</v>
      </c>
      <c r="I2" s="34" t="s">
        <v>64</v>
      </c>
      <c r="K2" s="36">
        <v>4</v>
      </c>
    </row>
    <row r="3" spans="1:11" x14ac:dyDescent="0.3">
      <c r="A3" s="35">
        <v>1</v>
      </c>
      <c r="B3" s="42" t="s">
        <v>65</v>
      </c>
      <c r="C3" s="43"/>
      <c r="D3" s="35">
        <v>2</v>
      </c>
      <c r="E3" s="42" t="s">
        <v>66</v>
      </c>
      <c r="F3" s="43"/>
    </row>
    <row r="4" spans="1:11" x14ac:dyDescent="0.3">
      <c r="B4" s="2" t="s">
        <v>73</v>
      </c>
      <c r="C4" s="25" t="s">
        <v>79</v>
      </c>
      <c r="E4" s="2" t="s">
        <v>77</v>
      </c>
      <c r="F4" s="25" t="s">
        <v>70</v>
      </c>
    </row>
    <row r="5" spans="1:11" x14ac:dyDescent="0.3">
      <c r="B5" s="2" t="s">
        <v>74</v>
      </c>
      <c r="C5" s="25" t="s">
        <v>80</v>
      </c>
      <c r="E5" s="2" t="s">
        <v>78</v>
      </c>
      <c r="F5" s="25" t="s">
        <v>71</v>
      </c>
    </row>
    <row r="6" spans="1:11" x14ac:dyDescent="0.3">
      <c r="B6" s="2" t="s">
        <v>75</v>
      </c>
      <c r="C6" s="25" t="s">
        <v>81</v>
      </c>
      <c r="E6" s="2"/>
      <c r="F6" s="25" t="s">
        <v>72</v>
      </c>
    </row>
    <row r="7" spans="1:11" x14ac:dyDescent="0.3">
      <c r="B7" s="2" t="s">
        <v>76</v>
      </c>
      <c r="C7" s="25"/>
      <c r="E7" s="2"/>
      <c r="F7" s="25"/>
    </row>
    <row r="17" s="1" customFormat="1" x14ac:dyDescent="0.3"/>
    <row r="18" s="1" customFormat="1" x14ac:dyDescent="0.3"/>
    <row r="19" s="1" customFormat="1" x14ac:dyDescent="0.3"/>
    <row r="20" s="1" customFormat="1" x14ac:dyDescent="0.3"/>
    <row r="21" s="1" customFormat="1" x14ac:dyDescent="0.3"/>
    <row r="22" s="1" customFormat="1" x14ac:dyDescent="0.3"/>
    <row r="23" s="1" customFormat="1" x14ac:dyDescent="0.3"/>
    <row r="24" s="1" customFormat="1" x14ac:dyDescent="0.3"/>
    <row r="25" s="1" customFormat="1" x14ac:dyDescent="0.3"/>
    <row r="26" s="1" customFormat="1" x14ac:dyDescent="0.3"/>
    <row r="27" s="1" customFormat="1" x14ac:dyDescent="0.3"/>
    <row r="28" s="1" customFormat="1" x14ac:dyDescent="0.3"/>
    <row r="29" s="1" customFormat="1" x14ac:dyDescent="0.3"/>
    <row r="30" s="1" customFormat="1" x14ac:dyDescent="0.3"/>
    <row r="31" s="1" customFormat="1" x14ac:dyDescent="0.3"/>
    <row r="32" s="1" customFormat="1" x14ac:dyDescent="0.3"/>
    <row r="33" s="1" customFormat="1" x14ac:dyDescent="0.3"/>
    <row r="34" s="1" customFormat="1" x14ac:dyDescent="0.3"/>
    <row r="35" s="1" customFormat="1" x14ac:dyDescent="0.3"/>
    <row r="36" s="1" customFormat="1" x14ac:dyDescent="0.3"/>
    <row r="37" s="1" customFormat="1" x14ac:dyDescent="0.3"/>
    <row r="38" s="1" customFormat="1" x14ac:dyDescent="0.3"/>
    <row r="39" s="1" customFormat="1" x14ac:dyDescent="0.3"/>
    <row r="40" s="1" customFormat="1" x14ac:dyDescent="0.3"/>
    <row r="41" s="1" customFormat="1" x14ac:dyDescent="0.3"/>
    <row r="42" s="1" customFormat="1" x14ac:dyDescent="0.3"/>
    <row r="43" s="1" customFormat="1" x14ac:dyDescent="0.3"/>
    <row r="44" s="1" customFormat="1" x14ac:dyDescent="0.3"/>
    <row r="45" s="1" customFormat="1" x14ac:dyDescent="0.3"/>
    <row r="46" s="1" customFormat="1" x14ac:dyDescent="0.3"/>
    <row r="47" s="1" customFormat="1" x14ac:dyDescent="0.3"/>
    <row r="48" s="1" customFormat="1" x14ac:dyDescent="0.3"/>
    <row r="49" s="1" customFormat="1" x14ac:dyDescent="0.3"/>
    <row r="50" s="1" customFormat="1" x14ac:dyDescent="0.3"/>
    <row r="51" s="1" customFormat="1" x14ac:dyDescent="0.3"/>
    <row r="52" s="1" customFormat="1" x14ac:dyDescent="0.3"/>
    <row r="53" s="1" customFormat="1" x14ac:dyDescent="0.3"/>
    <row r="54" s="1" customFormat="1" x14ac:dyDescent="0.3"/>
    <row r="55" s="1" customFormat="1" x14ac:dyDescent="0.3"/>
    <row r="56" s="1" customFormat="1" x14ac:dyDescent="0.3"/>
    <row r="57" s="1" customFormat="1" x14ac:dyDescent="0.3"/>
    <row r="58" s="1" customFormat="1" x14ac:dyDescent="0.3"/>
    <row r="59" s="1" customFormat="1" x14ac:dyDescent="0.3"/>
    <row r="60" s="1" customFormat="1" x14ac:dyDescent="0.3"/>
    <row r="61" s="1" customFormat="1" x14ac:dyDescent="0.3"/>
    <row r="62" s="1" customFormat="1" x14ac:dyDescent="0.3"/>
    <row r="63" s="1" customFormat="1" x14ac:dyDescent="0.3"/>
    <row r="64"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1" customFormat="1" x14ac:dyDescent="0.3"/>
    <row r="119" s="1" customFormat="1" x14ac:dyDescent="0.3"/>
    <row r="120" s="1" customFormat="1" x14ac:dyDescent="0.3"/>
    <row r="121" s="1" customFormat="1" x14ac:dyDescent="0.3"/>
    <row r="122" s="1" customFormat="1" x14ac:dyDescent="0.3"/>
    <row r="123" s="1" customFormat="1" x14ac:dyDescent="0.3"/>
    <row r="124" s="1" customFormat="1" x14ac:dyDescent="0.3"/>
    <row r="125" s="1" customFormat="1" x14ac:dyDescent="0.3"/>
    <row r="126" s="1" customFormat="1" x14ac:dyDescent="0.3"/>
    <row r="127" s="1" customFormat="1" x14ac:dyDescent="0.3"/>
    <row r="128" s="1" customFormat="1" x14ac:dyDescent="0.3"/>
    <row r="129" s="1" customFormat="1" x14ac:dyDescent="0.3"/>
    <row r="130" s="1" customFormat="1" x14ac:dyDescent="0.3"/>
    <row r="131" s="1" customFormat="1" x14ac:dyDescent="0.3"/>
    <row r="132" s="1" customFormat="1" x14ac:dyDescent="0.3"/>
    <row r="133" s="1" customFormat="1" x14ac:dyDescent="0.3"/>
    <row r="134" s="1" customFormat="1" x14ac:dyDescent="0.3"/>
    <row r="135" s="1" customFormat="1" x14ac:dyDescent="0.3"/>
    <row r="136" s="1" customFormat="1" x14ac:dyDescent="0.3"/>
    <row r="137" s="1" customFormat="1" x14ac:dyDescent="0.3"/>
    <row r="138" s="1" customFormat="1" x14ac:dyDescent="0.3"/>
    <row r="139" s="1" customFormat="1" x14ac:dyDescent="0.3"/>
    <row r="140" s="1" customFormat="1" x14ac:dyDescent="0.3"/>
    <row r="141" s="1" customFormat="1" x14ac:dyDescent="0.3"/>
    <row r="142" s="1" customFormat="1" x14ac:dyDescent="0.3"/>
    <row r="143" s="1" customFormat="1" x14ac:dyDescent="0.3"/>
    <row r="144" s="1" customFormat="1" x14ac:dyDescent="0.3"/>
    <row r="145" s="1" customFormat="1" x14ac:dyDescent="0.3"/>
    <row r="146" s="1" customFormat="1" x14ac:dyDescent="0.3"/>
    <row r="147" s="1" customFormat="1" x14ac:dyDescent="0.3"/>
    <row r="148" s="1" customFormat="1" x14ac:dyDescent="0.3"/>
    <row r="149" s="1" customFormat="1" x14ac:dyDescent="0.3"/>
    <row r="150" s="1" customFormat="1" x14ac:dyDescent="0.3"/>
    <row r="151" s="1" customFormat="1" x14ac:dyDescent="0.3"/>
    <row r="152" s="1" customFormat="1" x14ac:dyDescent="0.3"/>
    <row r="153" s="1" customFormat="1" x14ac:dyDescent="0.3"/>
    <row r="154" s="1" customFormat="1" x14ac:dyDescent="0.3"/>
    <row r="155" s="1" customFormat="1" x14ac:dyDescent="0.3"/>
    <row r="156" s="1" customFormat="1" x14ac:dyDescent="0.3"/>
    <row r="157" s="1" customFormat="1" x14ac:dyDescent="0.3"/>
    <row r="158" s="1" customFormat="1" x14ac:dyDescent="0.3"/>
    <row r="159" s="1" customFormat="1" x14ac:dyDescent="0.3"/>
    <row r="160" s="1" customFormat="1" x14ac:dyDescent="0.3"/>
    <row r="161" s="1" customFormat="1" x14ac:dyDescent="0.3"/>
    <row r="162" s="1" customFormat="1" x14ac:dyDescent="0.3"/>
    <row r="163" s="1" customFormat="1" x14ac:dyDescent="0.3"/>
    <row r="164" s="1" customFormat="1" x14ac:dyDescent="0.3"/>
    <row r="165" s="1" customFormat="1" x14ac:dyDescent="0.3"/>
    <row r="166" s="1" customFormat="1" x14ac:dyDescent="0.3"/>
    <row r="167" s="1" customFormat="1" x14ac:dyDescent="0.3"/>
    <row r="168" s="1" customFormat="1" x14ac:dyDescent="0.3"/>
    <row r="169" s="1" customFormat="1" x14ac:dyDescent="0.3"/>
    <row r="170" s="1" customFormat="1" x14ac:dyDescent="0.3"/>
    <row r="171" s="1" customFormat="1" x14ac:dyDescent="0.3"/>
    <row r="172" s="1" customFormat="1" x14ac:dyDescent="0.3"/>
    <row r="173" s="1" customFormat="1" x14ac:dyDescent="0.3"/>
    <row r="174" s="1" customFormat="1" x14ac:dyDescent="0.3"/>
    <row r="175" s="1" customFormat="1" x14ac:dyDescent="0.3"/>
    <row r="176" s="1" customFormat="1" x14ac:dyDescent="0.3"/>
    <row r="177" s="1" customFormat="1" x14ac:dyDescent="0.3"/>
    <row r="178" s="1" customFormat="1" x14ac:dyDescent="0.3"/>
    <row r="179" s="1" customFormat="1" x14ac:dyDescent="0.3"/>
    <row r="180" s="1" customFormat="1" x14ac:dyDescent="0.3"/>
    <row r="181" s="1" customFormat="1" x14ac:dyDescent="0.3"/>
    <row r="182" s="1" customFormat="1" x14ac:dyDescent="0.3"/>
    <row r="183" s="1" customFormat="1" x14ac:dyDescent="0.3"/>
    <row r="184" s="1" customFormat="1" x14ac:dyDescent="0.3"/>
    <row r="185" s="1" customFormat="1" x14ac:dyDescent="0.3"/>
    <row r="186" s="1" customFormat="1" x14ac:dyDescent="0.3"/>
    <row r="187" s="1" customFormat="1" x14ac:dyDescent="0.3"/>
    <row r="188" s="1" customFormat="1" x14ac:dyDescent="0.3"/>
    <row r="189" s="1" customFormat="1" x14ac:dyDescent="0.3"/>
    <row r="190" s="1" customFormat="1" x14ac:dyDescent="0.3"/>
    <row r="191" s="1" customFormat="1" x14ac:dyDescent="0.3"/>
    <row r="192" s="1" customFormat="1" x14ac:dyDescent="0.3"/>
    <row r="193" s="1" customFormat="1" x14ac:dyDescent="0.3"/>
    <row r="194" s="1" customFormat="1" x14ac:dyDescent="0.3"/>
    <row r="195" s="1" customFormat="1" x14ac:dyDescent="0.3"/>
    <row r="196" s="1" customFormat="1" x14ac:dyDescent="0.3"/>
    <row r="197" s="1" customFormat="1" x14ac:dyDescent="0.3"/>
    <row r="198" s="1" customFormat="1" x14ac:dyDescent="0.3"/>
    <row r="199" s="1" customFormat="1" x14ac:dyDescent="0.3"/>
    <row r="200" s="1" customFormat="1" x14ac:dyDescent="0.3"/>
  </sheetData>
  <mergeCells count="2">
    <mergeCell ref="B3:C3"/>
    <mergeCell ref="E3:F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41076-742A-437D-B209-0788C0F20466}">
  <sheetPr codeName="Sheet2"/>
  <dimension ref="A1:F3"/>
  <sheetViews>
    <sheetView workbookViewId="0">
      <selection activeCell="C2" sqref="C2"/>
    </sheetView>
  </sheetViews>
  <sheetFormatPr defaultRowHeight="14.4" x14ac:dyDescent="0.3"/>
  <cols>
    <col min="1" max="1" width="20.44140625" customWidth="1"/>
    <col min="2" max="2" width="11.21875" customWidth="1"/>
    <col min="3" max="3" width="20" customWidth="1"/>
    <col min="4" max="4" width="22.21875" customWidth="1"/>
    <col min="5" max="5" width="14.5546875" customWidth="1"/>
    <col min="7" max="7" width="10.21875" customWidth="1"/>
    <col min="8" max="8" width="20.5546875" customWidth="1"/>
  </cols>
  <sheetData>
    <row r="1" spans="1:6" x14ac:dyDescent="0.3">
      <c r="A1" t="s">
        <v>1</v>
      </c>
      <c r="C1" t="s">
        <v>18</v>
      </c>
      <c r="E1" s="45" t="s">
        <v>2</v>
      </c>
      <c r="F1" s="45"/>
    </row>
    <row r="2" spans="1:6" x14ac:dyDescent="0.3">
      <c r="A2" t="str" cm="1">
        <f t="array" ref="A2:B3">_xlfn._xlws.FILTER(Roll!B:C, Roll!A:A=2, "")</f>
        <v>h</v>
      </c>
      <c r="B2">
        <v>3</v>
      </c>
      <c r="C2" t="str" cm="1">
        <f t="array" ref="C2:C3">IF(A2&lt;&gt;"", _xlfn.BYROW(_xlfn.ANCHORARRAY(A2), _xlfn.LAMBDA(_xlpm.x, VLOOKUP(INDEX(_xlpm.x, 0, 2), Roll!J:K, 2, FALSE))), "")</f>
        <v>y</v>
      </c>
      <c r="E2" t="str" cm="1">
        <f t="array" ref="E2">_xlfn._xlws.FILTER(Roll!L:L, (Roll!L:L&lt;&gt;Roll!L1)*(Roll!L:L&lt;&gt;"")*(Roll!M:M&lt;&gt;"Y"), "")</f>
        <v/>
      </c>
    </row>
    <row r="3" spans="1:6" x14ac:dyDescent="0.3">
      <c r="A3" t="str">
        <v>i</v>
      </c>
      <c r="B3">
        <v>3</v>
      </c>
      <c r="C3" t="str">
        <v>y</v>
      </c>
    </row>
  </sheetData>
  <mergeCells count="1">
    <mergeCell ref="E1:F1"/>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2A149-F037-4C62-AE15-B6AF6D8ADD9F}">
  <sheetPr codeName="Sheet3"/>
  <dimension ref="A1:L2"/>
  <sheetViews>
    <sheetView workbookViewId="0">
      <selection activeCell="L2" sqref="L2"/>
    </sheetView>
  </sheetViews>
  <sheetFormatPr defaultRowHeight="14.4" x14ac:dyDescent="0.3"/>
  <cols>
    <col min="1" max="1" width="20.44140625" customWidth="1"/>
    <col min="2" max="2" width="19.21875" customWidth="1"/>
    <col min="3" max="3" width="20.5546875" customWidth="1"/>
    <col min="5" max="5" width="14" customWidth="1"/>
    <col min="6" max="6" width="11.21875" customWidth="1"/>
    <col min="8" max="8" width="15.21875" customWidth="1"/>
    <col min="9" max="9" width="10.44140625" customWidth="1"/>
    <col min="11" max="11" width="14.5546875" customWidth="1"/>
    <col min="12" max="12" width="9" customWidth="1"/>
  </cols>
  <sheetData>
    <row r="1" spans="1:12" x14ac:dyDescent="0.3">
      <c r="A1" s="45" t="s">
        <v>3</v>
      </c>
      <c r="B1" s="45"/>
      <c r="C1" t="s">
        <v>4</v>
      </c>
      <c r="E1" s="45" t="s">
        <v>6</v>
      </c>
      <c r="F1" s="45"/>
      <c r="H1" s="45" t="s">
        <v>5</v>
      </c>
      <c r="I1" s="45"/>
      <c r="K1" s="45" t="s">
        <v>22</v>
      </c>
      <c r="L1" s="45"/>
    </row>
    <row r="2" spans="1:12" x14ac:dyDescent="0.3">
      <c r="A2" t="str" cm="1">
        <f t="array" aca="1" ref="A2" ca="1">_xlfn.SORTBY(_xlfn.ANCHORARRAY('Incomplete Teams'!E2), _xlfn.RANDARRAY(ROWS(_xlfn.ANCHORARRAY('Incomplete Teams'!E2))))</f>
        <v/>
      </c>
      <c r="C2" t="str" cm="1">
        <f t="array" ref="C2">_xlfn._xlws.FILTER(Roll!J:J, (Roll!J:J&lt;&gt;Roll!J1)*(Roll!J:J&lt;&gt;"")*(Roll!K:K&lt;&gt;"Y"), "")</f>
        <v/>
      </c>
      <c r="E2" t="str" cm="1">
        <f t="array" ref="E2">IF(C2&lt;&gt;"", _xlfn._xlws.FILTER(_xlfn._xlws.FILTER(A:C, (B:B&lt;&gt;"")*(C:C&lt;&gt;""), ""), {1,0,1}, ""), "")</f>
        <v/>
      </c>
      <c r="H2" t="str" cm="1">
        <f t="array" ref="H2">IF(C2&lt;&gt;"", _xlfn._xlws.SORT(_xlfn.VSTACK(_xlfn.ANCHORARRAY(E2), _xlfn._xlws.FILTER('Incomplete Teams'!A:B, ('Incomplete Teams'!A:A&lt;&gt;"")*('Incomplete Teams'!A:A&lt;&gt;'Incomplete Teams'!A1)*('Incomplete Teams'!C:C&lt;&gt;"Y"), "")), 2), "")</f>
        <v/>
      </c>
      <c r="K2" t="str" cm="1">
        <f t="array" ref="K2">IF(C2&lt;&gt;"", _xlfn._xlws.FILTER(_xlfn.ANCHORARRAY(H2), COUNTIF(INDEX(_xlfn.ANCHORARRAY(H2), 0, 2), INDEX(_xlfn.ANCHORARRAY(H2), 0, 2))&gt;2, ""), "")</f>
        <v/>
      </c>
    </row>
  </sheetData>
  <mergeCells count="4">
    <mergeCell ref="A1:B1"/>
    <mergeCell ref="E1:F1"/>
    <mergeCell ref="H1:I1"/>
    <mergeCell ref="K1:L1"/>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2C29E-E31D-46BE-BA4F-444B56AA0308}">
  <sheetPr codeName="Sheet4"/>
  <dimension ref="A1:P2"/>
  <sheetViews>
    <sheetView workbookViewId="0">
      <selection activeCell="F13" sqref="F13"/>
    </sheetView>
  </sheetViews>
  <sheetFormatPr defaultRowHeight="14.4" x14ac:dyDescent="0.3"/>
  <cols>
    <col min="1" max="1" width="18.77734375" customWidth="1"/>
    <col min="2" max="2" width="10.77734375" customWidth="1"/>
    <col min="4" max="4" width="15.5546875" customWidth="1"/>
    <col min="6" max="6" width="14.21875" customWidth="1"/>
    <col min="8" max="8" width="15" customWidth="1"/>
    <col min="10" max="10" width="16.21875" customWidth="1"/>
    <col min="12" max="12" width="8.77734375" customWidth="1"/>
    <col min="13" max="13" width="16.5546875" customWidth="1"/>
    <col min="16" max="16" width="16.44140625" customWidth="1"/>
  </cols>
  <sheetData>
    <row r="1" spans="1:16" x14ac:dyDescent="0.3">
      <c r="A1" s="45" t="s">
        <v>7</v>
      </c>
      <c r="B1" s="45"/>
      <c r="D1" t="s">
        <v>10</v>
      </c>
      <c r="F1" t="s">
        <v>8</v>
      </c>
      <c r="H1" t="s">
        <v>9</v>
      </c>
      <c r="J1" t="s">
        <v>12</v>
      </c>
      <c r="M1" t="s">
        <v>11</v>
      </c>
      <c r="P1" t="s">
        <v>5</v>
      </c>
    </row>
    <row r="2" spans="1:16" x14ac:dyDescent="0.3">
      <c r="A2" t="str" cm="1">
        <f t="array" ref="A2">_xlfn._xlws.FILTER('Teams of 2+1'!H:I, COUNTIF('Teams of 2+1'!I:I, 'Teams of 2+1'!I:I)=2, "")</f>
        <v/>
      </c>
      <c r="D2" t="str" cm="1">
        <f t="array" aca="1" ref="D2" ca="1">IF(A2&lt;&gt;"", _xlfn.SORTBY(_xlfn.UNIQUE(_xlfn._xlws.FILTER(_xlfn.ANCHORARRAY(A2), {0,1})), _xlfn.RANDARRAY(ROWS(_xlfn.ANCHORARRAY(A2))/2)), "")</f>
        <v/>
      </c>
      <c r="F2" t="str" cm="1">
        <f t="array" aca="1" ref="F2" ca="1">_xlfn._xlws.FILTER(_xlfn.ANCHORARRAY(D2), MOD(ROW(_xlfn.ANCHORARRAY(D2)),2)=0, "")</f>
        <v/>
      </c>
      <c r="H2" t="str" cm="1">
        <f t="array" aca="1" ref="H2" ca="1">_xlfn._xlws.FILTER(_xlfn.ANCHORARRAY(D2), MOD(ROW(_xlfn.ANCHORARRAY(D2)),2)=1, "")</f>
        <v/>
      </c>
      <c r="J2" t="str" cm="1">
        <f t="array" aca="1" ref="J2" ca="1">_xlfn._xlws.FILTER(_xlfn.ANCHORARRAY(A2), ISNA(VLOOKUP(_xlfn._xlws.FILTER(_xlfn.ANCHORARRAY(A2), {0,1}),_xlfn.ANCHORARRAY( F2), 1, FALSE))=FALSE, "")</f>
        <v/>
      </c>
      <c r="M2" t="str" cm="1">
        <f t="array" ref="M2">IF(A2&lt;&gt;"", _xlfn.HSTACK(_xlfn._xlws.FILTER(_xlfn._xlws.FILTER(_xlfn.ANCHORARRAY(A2), ISNA(VLOOKUP(_xlfn._xlws.FILTER(_xlfn.ANCHORARRAY(A2), {0,1}),_xlfn.ANCHORARRAY( H2), 1, FALSE))=FALSE, ""), {1,0}), _xlfn._xlws.FILTER(_xlfn.ANCHORARRAY(J2), {0,1})), "")</f>
        <v/>
      </c>
      <c r="P2" t="str" cm="1">
        <f t="array" ref="P2">IF(A2&lt;&gt;"", _xlfn._xlws.SORT(_xlfn.VSTACK(_xlfn.ANCHORARRAY(J2),_xlfn._xlws.FILTER(_xlfn.ANCHORARRAY(M2),ISNA(INDEX(_xlfn.ANCHORARRAY(M2), 0, 1))=FALSE)), 2,1), "")</f>
        <v/>
      </c>
    </row>
  </sheetData>
  <mergeCells count="1">
    <mergeCell ref="A1:B1"/>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C523-FDBC-4154-AEF0-B93997AE4EEC}">
  <sheetPr codeName="Sheet5"/>
  <dimension ref="A1:I2"/>
  <sheetViews>
    <sheetView workbookViewId="0">
      <selection activeCell="F2" sqref="F2"/>
    </sheetView>
  </sheetViews>
  <sheetFormatPr defaultRowHeight="14.4" x14ac:dyDescent="0.3"/>
  <cols>
    <col min="1" max="1" width="18.5546875" customWidth="1"/>
  </cols>
  <sheetData>
    <row r="1" spans="1:9" x14ac:dyDescent="0.3">
      <c r="A1" t="s">
        <v>13</v>
      </c>
      <c r="D1" s="45" t="s">
        <v>14</v>
      </c>
      <c r="E1" s="45"/>
      <c r="F1" s="45"/>
      <c r="H1" s="45" t="s">
        <v>11</v>
      </c>
      <c r="I1" s="45"/>
    </row>
    <row r="2" spans="1:9" x14ac:dyDescent="0.3">
      <c r="A2" t="str" cm="1">
        <f t="array" aca="1" ref="A2" ca="1">_xlfn._xlws.FILTER('Teams of 2+1'!A:B, ('Teams of 2+1'!A:A&lt;&gt;"")*('Teams of 2+1'!A:A&lt;&gt;'Teams of 2+1'!A1)*('Teams of 2+1'!C:C=""), "")</f>
        <v/>
      </c>
      <c r="D2" t="str" cm="1">
        <f t="array" aca="1" ref="D2" ca="1">_xlfn.SORTBY(_xlfn.ANCHORARRAY(A2), _xlfn.RANDARRAY(ROWS(_xlfn.ANCHORARRAY(A2))))</f>
        <v/>
      </c>
      <c r="F2" t="e" cm="1">
        <f t="array" aca="1" ref="F2" ca="1">_xlfn.BYROW(_xlfn.ANCHORARRAY(D2), _xlfn.LAMBDA(_xlpm.x, _xlfn.IFS(MOD(ROW(_xlpm.x), 3)=2, INDEX(_xlpm.x, 0, 2), MOD(ROW(_xlpm.x), 3)=1, INDEX(_xlfn.ANCHORARRAY(D2), ROW(_xlpm.x)-3, 2), MOD(ROW(_xlpm.x), 3)=0, INDEX(_xlfn.ANCHORARRAY(D2), ROW(_xlpm.x)-2, 2))))</f>
        <v>#REF!</v>
      </c>
      <c r="H2" t="str" cm="1">
        <f t="array" aca="1" ref="H2" ca="1">IF(A2&lt;&gt;"", _xlfn._xlws.FILTER(_xlfn._xlws.FILTER(D:F, (D:D&lt;&gt;"")*(D:D&lt;&gt;D1), ""), {1,0,1}), "")</f>
        <v/>
      </c>
    </row>
  </sheetData>
  <mergeCells count="2">
    <mergeCell ref="D1:F1"/>
    <mergeCell ref="H1:I1"/>
  </mergeCell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B6872-CB05-41E9-9E3C-A0B58495FF1E}">
  <sheetPr codeName="Sheet8"/>
  <dimension ref="A1:I13"/>
  <sheetViews>
    <sheetView workbookViewId="0">
      <selection activeCell="I13" sqref="I13"/>
    </sheetView>
  </sheetViews>
  <sheetFormatPr defaultRowHeight="14.4" x14ac:dyDescent="0.3"/>
  <cols>
    <col min="1" max="1" width="16.44140625" customWidth="1"/>
    <col min="2" max="2" width="11.77734375" customWidth="1"/>
    <col min="5" max="5" width="7.21875" customWidth="1"/>
    <col min="6" max="6" width="15.21875" customWidth="1"/>
  </cols>
  <sheetData>
    <row r="1" spans="1:9" x14ac:dyDescent="0.3">
      <c r="A1" s="45" t="s">
        <v>21</v>
      </c>
      <c r="B1" s="45"/>
      <c r="E1" t="s">
        <v>20</v>
      </c>
      <c r="F1" t="s">
        <v>23</v>
      </c>
      <c r="H1" t="s">
        <v>67</v>
      </c>
      <c r="I1">
        <f ca="1">COUNTA(E2:E70)</f>
        <v>4</v>
      </c>
    </row>
    <row r="2" spans="1:9" x14ac:dyDescent="0.3">
      <c r="A2" t="str" cm="1">
        <f t="array" aca="1" ref="A2:B13" ca="1">_xlfn._xlws.FILTER(_xlfn.VSTACK(_xlfn.ANCHORARRAY('Teams of 3x1'!H2),_xlfn.ANCHORARRAY( 'Teams of 2+2'!P2),_xlfn.ANCHORARRAY( 'Teams of 2+1'!K2), _xlfn._xlws.FILTER(Roll!B:C, (Roll!A:A="N")*(Roll!D:D="Y"), ""), _xlfn._xlws.FILTER('Incomplete Teams'!A:B, 'Incomplete Teams'!C:C="Y", ""), _xlfn._xlws.FILTER(Roll!L:L, Roll!M:M="Y", "")), (ISERROR(INDEX(_xlfn.VSTACK(_xlfn.ANCHORARRAY('Teams of 3x1'!H2),_xlfn.ANCHORARRAY( 'Teams of 2+2'!P2),_xlfn.ANCHORARRAY( 'Teams of 2+1'!K2), _xlfn._xlws.FILTER(Roll!B:C, (Roll!A:A="N")*(Roll!D:D="Y"), ""), _xlfn._xlws.FILTER('Incomplete Teams'!A:B, 'Incomplete Teams'!C:C="Y", ""), _xlfn._xlws.FILTER(Roll!L:L, Roll!M:M="Y", "")), 0, 1))=FALSE)*(ISERROR(INDEX(_xlfn.VSTACK(_xlfn.ANCHORARRAY('Teams of 3x1'!H2),_xlfn.ANCHORARRAY( 'Teams of 2+2'!P2),_xlfn.ANCHORARRAY( 'Teams of 2+1'!K2), _xlfn._xlws.FILTER(Roll!B:C, (Roll!A:A="N")*(Roll!D:D="Y"), ""), _xlfn._xlws.FILTER('Incomplete Teams'!A:B, 'Incomplete Teams'!C:C="Y", ""), _xlfn._xlws.FILTER(Roll!L:L, Roll!M:M="Y", "")), 0, 2))=FALSE), "")</f>
        <v>a</v>
      </c>
      <c r="B2">
        <f ca="1"/>
        <v>1</v>
      </c>
      <c r="E2" cm="1">
        <f t="array" aca="1" ref="E2:E5" ca="1">_xlfn.UNIQUE(INDEX(_xlfn.ANCHORARRAY(A2), 0, 2))</f>
        <v>1</v>
      </c>
      <c r="F2" cm="1">
        <f t="array" aca="1" ref="F2:F5" ca="1">_xlfn.SORTBY(_xlfn.SEQUENCE(ROWS(_xlfn.ANCHORARRAY(E2))), _xlfn.RANDARRAY(ROWS(_xlfn.ANCHORARRAY(E2))))</f>
        <v>4</v>
      </c>
    </row>
    <row r="3" spans="1:9" x14ac:dyDescent="0.3">
      <c r="A3" t="str">
        <f ca="1"/>
        <v>b</v>
      </c>
      <c r="B3">
        <f ca="1"/>
        <v>1</v>
      </c>
      <c r="E3">
        <f ca="1"/>
        <v>2</v>
      </c>
      <c r="F3">
        <f ca="1"/>
        <v>1</v>
      </c>
    </row>
    <row r="4" spans="1:9" x14ac:dyDescent="0.3">
      <c r="A4" t="str">
        <f ca="1"/>
        <v>c</v>
      </c>
      <c r="B4">
        <f ca="1"/>
        <v>1</v>
      </c>
      <c r="E4">
        <f ca="1"/>
        <v>4</v>
      </c>
      <c r="F4">
        <f ca="1"/>
        <v>2</v>
      </c>
    </row>
    <row r="5" spans="1:9" x14ac:dyDescent="0.3">
      <c r="A5" t="str">
        <f ca="1"/>
        <v>d</v>
      </c>
      <c r="B5">
        <f ca="1"/>
        <v>2</v>
      </c>
      <c r="E5">
        <f ca="1"/>
        <v>3</v>
      </c>
      <c r="F5">
        <f ca="1"/>
        <v>3</v>
      </c>
    </row>
    <row r="6" spans="1:9" x14ac:dyDescent="0.3">
      <c r="A6" t="str">
        <f ca="1"/>
        <v>e</v>
      </c>
      <c r="B6">
        <f ca="1"/>
        <v>2</v>
      </c>
    </row>
    <row r="7" spans="1:9" x14ac:dyDescent="0.3">
      <c r="A7" t="str">
        <f ca="1"/>
        <v>f</v>
      </c>
      <c r="B7">
        <f ca="1"/>
        <v>2</v>
      </c>
    </row>
    <row r="8" spans="1:9" x14ac:dyDescent="0.3">
      <c r="A8" t="str">
        <f ca="1"/>
        <v>g</v>
      </c>
      <c r="B8">
        <f ca="1"/>
        <v>2</v>
      </c>
    </row>
    <row r="9" spans="1:9" x14ac:dyDescent="0.3">
      <c r="A9" t="str">
        <f ca="1"/>
        <v>j</v>
      </c>
      <c r="B9">
        <f ca="1"/>
        <v>4</v>
      </c>
    </row>
    <row r="10" spans="1:9" x14ac:dyDescent="0.3">
      <c r="A10" t="str">
        <f ca="1"/>
        <v>k</v>
      </c>
      <c r="B10">
        <f ca="1"/>
        <v>4</v>
      </c>
    </row>
    <row r="11" spans="1:9" x14ac:dyDescent="0.3">
      <c r="A11" t="str">
        <f ca="1"/>
        <v>l</v>
      </c>
      <c r="B11">
        <f ca="1"/>
        <v>4</v>
      </c>
    </row>
    <row r="12" spans="1:9" x14ac:dyDescent="0.3">
      <c r="A12" t="str">
        <f ca="1"/>
        <v>h</v>
      </c>
      <c r="B12">
        <f ca="1"/>
        <v>3</v>
      </c>
    </row>
    <row r="13" spans="1:9" x14ac:dyDescent="0.3">
      <c r="A13" t="str">
        <f ca="1"/>
        <v>i</v>
      </c>
      <c r="B13">
        <f ca="1"/>
        <v>3</v>
      </c>
    </row>
  </sheetData>
  <mergeCells count="1">
    <mergeCell ref="A1:B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B0FAD-72EE-45A2-AAF0-0AEB116B8B50}">
  <sheetPr codeName="Sheet7"/>
  <dimension ref="A1:K200"/>
  <sheetViews>
    <sheetView workbookViewId="0"/>
  </sheetViews>
  <sheetFormatPr defaultColWidth="12" defaultRowHeight="14.4" x14ac:dyDescent="0.3"/>
  <cols>
    <col min="1" max="1" width="6.33203125" style="1" customWidth="1"/>
    <col min="2" max="3" width="12" style="1"/>
    <col min="4" max="4" width="6.33203125" style="1" customWidth="1"/>
    <col min="5" max="6" width="12" style="1"/>
    <col min="7" max="7" width="6.33203125" style="1" customWidth="1"/>
    <col min="8" max="16384" width="12" style="1"/>
  </cols>
  <sheetData>
    <row r="1" spans="1:11" x14ac:dyDescent="0.3">
      <c r="K1" s="36" t="s">
        <v>68</v>
      </c>
    </row>
    <row r="2" spans="1:11" x14ac:dyDescent="0.3">
      <c r="B2" s="34" t="s">
        <v>63</v>
      </c>
      <c r="C2" s="34" t="s">
        <v>64</v>
      </c>
      <c r="E2" s="34" t="s">
        <v>63</v>
      </c>
      <c r="F2" s="34" t="s">
        <v>64</v>
      </c>
      <c r="H2" s="34" t="s">
        <v>63</v>
      </c>
      <c r="I2" s="34" t="s">
        <v>64</v>
      </c>
      <c r="K2" s="36">
        <v>4</v>
      </c>
    </row>
    <row r="3" spans="1:11" x14ac:dyDescent="0.3">
      <c r="A3" s="35">
        <v>1</v>
      </c>
      <c r="B3" s="42" t="s">
        <v>65</v>
      </c>
      <c r="C3" s="43"/>
      <c r="D3" s="35">
        <v>2</v>
      </c>
      <c r="E3" s="42" t="s">
        <v>66</v>
      </c>
      <c r="F3" s="43"/>
    </row>
    <row r="4" spans="1:11" x14ac:dyDescent="0.3">
      <c r="B4" s="2" t="str" cm="1">
        <f t="array" aca="1" ref="B4:B7" ca="1">IF(ISERROR(_xlfn._xlws.FILTER(_xlfn._xlws.FILTER(_xlfn.ANCHORARRAY('Team List'!$A$2), INDEX(_xlfn.ANCHORARRAY('Team List'!$A$2), 0, 2)=_xlfn._xlws.FILTER('Team List'!$E:$E, 'Team List'!$F:$F=A3*2-1), ""), {1,0}))=TRUE, "", _xlfn._xlws.FILTER(_xlfn._xlws.FILTER(_xlfn.ANCHORARRAY('Team List'!$A$2), INDEX(_xlfn.ANCHORARRAY('Team List'!$A$2), 0, 2)=_xlfn._xlws.FILTER('Team List'!$E:$E, 'Team List'!$F:$F=A3*2-1), ""), {1,0}))</f>
        <v>d</v>
      </c>
      <c r="C4" s="25" t="str" cm="1">
        <f t="array" aca="1" ref="C4:C6" ca="1">IF(ISERROR(_xlfn._xlws.FILTER(_xlfn._xlws.FILTER(_xlfn.ANCHORARRAY('Team List'!$A$2), INDEX(_xlfn.ANCHORARRAY('Team List'!$A$2), 0, 2)=_xlfn._xlws.FILTER('Team List'!$E:$E, 'Team List'!$F:$F=A3*2), ""), {1,0}))=TRUE, "", _xlfn._xlws.FILTER(_xlfn._xlws.FILTER(_xlfn.ANCHORARRAY('Team List'!$A$2), INDEX(_xlfn.ANCHORARRAY('Team List'!$A$2), 0, 2)=_xlfn._xlws.FILTER('Team List'!$E:$E, 'Team List'!$F:$F=A3*2), ""), {1,0}))</f>
        <v>j</v>
      </c>
      <c r="E4" s="2" t="str" cm="1">
        <f t="array" aca="1" ref="E4:E5" ca="1">IF(ISERROR(_xlfn._xlws.FILTER(_xlfn._xlws.FILTER(_xlfn.ANCHORARRAY('Team List'!$A$2), INDEX(_xlfn.ANCHORARRAY('Team List'!$A$2), 0, 2)=_xlfn._xlws.FILTER('Team List'!$E:$E, 'Team List'!$F:$F=D3*2-1), ""), {1,0}))=TRUE, "", _xlfn._xlws.FILTER(_xlfn._xlws.FILTER(_xlfn.ANCHORARRAY('Team List'!$A$2), INDEX(_xlfn.ANCHORARRAY('Team List'!$A$2), 0, 2)=_xlfn._xlws.FILTER('Team List'!$E:$E, 'Team List'!$F:$F=D3*2-1), ""), {1,0}))</f>
        <v>h</v>
      </c>
      <c r="F4" s="25" t="str" cm="1">
        <f t="array" aca="1" ref="F4:F6" ca="1">IF(ISERROR(_xlfn._xlws.FILTER(_xlfn._xlws.FILTER(_xlfn.ANCHORARRAY('Team List'!$A$2), INDEX(_xlfn.ANCHORARRAY('Team List'!$A$2), 0, 2)=_xlfn._xlws.FILTER('Team List'!$E:$E, 'Team List'!$F:$F=D3*2), ""), {1,0}))=TRUE, "", _xlfn._xlws.FILTER(_xlfn._xlws.FILTER(_xlfn.ANCHORARRAY('Team List'!$A$2), INDEX(_xlfn.ANCHORARRAY('Team List'!$A$2), 0, 2)=_xlfn._xlws.FILTER('Team List'!$E:$E, 'Team List'!$F:$F=D3*2), ""), {1,0}))</f>
        <v>a</v>
      </c>
    </row>
    <row r="5" spans="1:11" x14ac:dyDescent="0.3">
      <c r="B5" s="2" t="str">
        <f ca="1"/>
        <v>e</v>
      </c>
      <c r="C5" s="25" t="str">
        <f ca="1"/>
        <v>k</v>
      </c>
      <c r="E5" s="2" t="str">
        <f ca="1"/>
        <v>i</v>
      </c>
      <c r="F5" s="25" t="str">
        <f ca="1"/>
        <v>b</v>
      </c>
    </row>
    <row r="6" spans="1:11" x14ac:dyDescent="0.3">
      <c r="B6" s="2" t="str">
        <f ca="1"/>
        <v>f</v>
      </c>
      <c r="C6" s="25" t="str">
        <f ca="1"/>
        <v>l</v>
      </c>
      <c r="E6" s="2"/>
      <c r="F6" s="25" t="str">
        <f ca="1"/>
        <v>c</v>
      </c>
    </row>
    <row r="7" spans="1:11" x14ac:dyDescent="0.3">
      <c r="B7" s="2" t="str">
        <f ca="1"/>
        <v>g</v>
      </c>
      <c r="C7" s="25"/>
      <c r="E7" s="2"/>
      <c r="F7" s="25"/>
    </row>
    <row r="17" s="1" customFormat="1" x14ac:dyDescent="0.3"/>
    <row r="18" s="1" customFormat="1" x14ac:dyDescent="0.3"/>
    <row r="19" s="1" customFormat="1" x14ac:dyDescent="0.3"/>
    <row r="20" s="1" customFormat="1" x14ac:dyDescent="0.3"/>
    <row r="21" s="1" customFormat="1" x14ac:dyDescent="0.3"/>
    <row r="22" s="1" customFormat="1" x14ac:dyDescent="0.3"/>
    <row r="23" s="1" customFormat="1" x14ac:dyDescent="0.3"/>
    <row r="24" s="1" customFormat="1" x14ac:dyDescent="0.3"/>
    <row r="25" s="1" customFormat="1" x14ac:dyDescent="0.3"/>
    <row r="26" s="1" customFormat="1" x14ac:dyDescent="0.3"/>
    <row r="27" s="1" customFormat="1" x14ac:dyDescent="0.3"/>
    <row r="28" s="1" customFormat="1" x14ac:dyDescent="0.3"/>
    <row r="29" s="1" customFormat="1" x14ac:dyDescent="0.3"/>
    <row r="30" s="1" customFormat="1" x14ac:dyDescent="0.3"/>
    <row r="31" s="1" customFormat="1" x14ac:dyDescent="0.3"/>
    <row r="32" s="1" customFormat="1" x14ac:dyDescent="0.3"/>
    <row r="33" s="1" customFormat="1" x14ac:dyDescent="0.3"/>
    <row r="34" s="1" customFormat="1" x14ac:dyDescent="0.3"/>
    <row r="35" s="1" customFormat="1" x14ac:dyDescent="0.3"/>
    <row r="36" s="1" customFormat="1" x14ac:dyDescent="0.3"/>
    <row r="37" s="1" customFormat="1" x14ac:dyDescent="0.3"/>
    <row r="38" s="1" customFormat="1" x14ac:dyDescent="0.3"/>
    <row r="39" s="1" customFormat="1" x14ac:dyDescent="0.3"/>
    <row r="40" s="1" customFormat="1" x14ac:dyDescent="0.3"/>
    <row r="41" s="1" customFormat="1" x14ac:dyDescent="0.3"/>
    <row r="42" s="1" customFormat="1" x14ac:dyDescent="0.3"/>
    <row r="43" s="1" customFormat="1" x14ac:dyDescent="0.3"/>
    <row r="44" s="1" customFormat="1" x14ac:dyDescent="0.3"/>
    <row r="45" s="1" customFormat="1" x14ac:dyDescent="0.3"/>
    <row r="46" s="1" customFormat="1" x14ac:dyDescent="0.3"/>
    <row r="47" s="1" customFormat="1" x14ac:dyDescent="0.3"/>
    <row r="48" s="1" customFormat="1" x14ac:dyDescent="0.3"/>
    <row r="49" s="1" customFormat="1" x14ac:dyDescent="0.3"/>
    <row r="50" s="1" customFormat="1" x14ac:dyDescent="0.3"/>
    <row r="51" s="1" customFormat="1" x14ac:dyDescent="0.3"/>
    <row r="52" s="1" customFormat="1" x14ac:dyDescent="0.3"/>
    <row r="53" s="1" customFormat="1" x14ac:dyDescent="0.3"/>
    <row r="54" s="1" customFormat="1" x14ac:dyDescent="0.3"/>
    <row r="55" s="1" customFormat="1" x14ac:dyDescent="0.3"/>
    <row r="56" s="1" customFormat="1" x14ac:dyDescent="0.3"/>
    <row r="57" s="1" customFormat="1" x14ac:dyDescent="0.3"/>
    <row r="58" s="1" customFormat="1" x14ac:dyDescent="0.3"/>
    <row r="59" s="1" customFormat="1" x14ac:dyDescent="0.3"/>
    <row r="60" s="1" customFormat="1" x14ac:dyDescent="0.3"/>
    <row r="61" s="1" customFormat="1" x14ac:dyDescent="0.3"/>
    <row r="62" s="1" customFormat="1" x14ac:dyDescent="0.3"/>
    <row r="63" s="1" customFormat="1" x14ac:dyDescent="0.3"/>
    <row r="64"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1" customFormat="1" x14ac:dyDescent="0.3"/>
    <row r="119" s="1" customFormat="1" x14ac:dyDescent="0.3"/>
    <row r="120" s="1" customFormat="1" x14ac:dyDescent="0.3"/>
    <row r="121" s="1" customFormat="1" x14ac:dyDescent="0.3"/>
    <row r="122" s="1" customFormat="1" x14ac:dyDescent="0.3"/>
    <row r="123" s="1" customFormat="1" x14ac:dyDescent="0.3"/>
    <row r="124" s="1" customFormat="1" x14ac:dyDescent="0.3"/>
    <row r="125" s="1" customFormat="1" x14ac:dyDescent="0.3"/>
    <row r="126" s="1" customFormat="1" x14ac:dyDescent="0.3"/>
    <row r="127" s="1" customFormat="1" x14ac:dyDescent="0.3"/>
    <row r="128" s="1" customFormat="1" x14ac:dyDescent="0.3"/>
    <row r="129" s="1" customFormat="1" x14ac:dyDescent="0.3"/>
    <row r="130" s="1" customFormat="1" x14ac:dyDescent="0.3"/>
    <row r="131" s="1" customFormat="1" x14ac:dyDescent="0.3"/>
    <row r="132" s="1" customFormat="1" x14ac:dyDescent="0.3"/>
    <row r="133" s="1" customFormat="1" x14ac:dyDescent="0.3"/>
    <row r="134" s="1" customFormat="1" x14ac:dyDescent="0.3"/>
    <row r="135" s="1" customFormat="1" x14ac:dyDescent="0.3"/>
    <row r="136" s="1" customFormat="1" x14ac:dyDescent="0.3"/>
    <row r="137" s="1" customFormat="1" x14ac:dyDescent="0.3"/>
    <row r="138" s="1" customFormat="1" x14ac:dyDescent="0.3"/>
    <row r="139" s="1" customFormat="1" x14ac:dyDescent="0.3"/>
    <row r="140" s="1" customFormat="1" x14ac:dyDescent="0.3"/>
    <row r="141" s="1" customFormat="1" x14ac:dyDescent="0.3"/>
    <row r="142" s="1" customFormat="1" x14ac:dyDescent="0.3"/>
    <row r="143" s="1" customFormat="1" x14ac:dyDescent="0.3"/>
    <row r="144" s="1" customFormat="1" x14ac:dyDescent="0.3"/>
    <row r="145" s="1" customFormat="1" x14ac:dyDescent="0.3"/>
    <row r="146" s="1" customFormat="1" x14ac:dyDescent="0.3"/>
    <row r="147" s="1" customFormat="1" x14ac:dyDescent="0.3"/>
    <row r="148" s="1" customFormat="1" x14ac:dyDescent="0.3"/>
    <row r="149" s="1" customFormat="1" x14ac:dyDescent="0.3"/>
    <row r="150" s="1" customFormat="1" x14ac:dyDescent="0.3"/>
    <row r="151" s="1" customFormat="1" x14ac:dyDescent="0.3"/>
    <row r="152" s="1" customFormat="1" x14ac:dyDescent="0.3"/>
    <row r="153" s="1" customFormat="1" x14ac:dyDescent="0.3"/>
    <row r="154" s="1" customFormat="1" x14ac:dyDescent="0.3"/>
    <row r="155" s="1" customFormat="1" x14ac:dyDescent="0.3"/>
    <row r="156" s="1" customFormat="1" x14ac:dyDescent="0.3"/>
    <row r="157" s="1" customFormat="1" x14ac:dyDescent="0.3"/>
    <row r="158" s="1" customFormat="1" x14ac:dyDescent="0.3"/>
    <row r="159" s="1" customFormat="1" x14ac:dyDescent="0.3"/>
    <row r="160" s="1" customFormat="1" x14ac:dyDescent="0.3"/>
    <row r="161" s="1" customFormat="1" x14ac:dyDescent="0.3"/>
    <row r="162" s="1" customFormat="1" x14ac:dyDescent="0.3"/>
    <row r="163" s="1" customFormat="1" x14ac:dyDescent="0.3"/>
    <row r="164" s="1" customFormat="1" x14ac:dyDescent="0.3"/>
    <row r="165" s="1" customFormat="1" x14ac:dyDescent="0.3"/>
    <row r="166" s="1" customFormat="1" x14ac:dyDescent="0.3"/>
    <row r="167" s="1" customFormat="1" x14ac:dyDescent="0.3"/>
    <row r="168" s="1" customFormat="1" x14ac:dyDescent="0.3"/>
    <row r="169" s="1" customFormat="1" x14ac:dyDescent="0.3"/>
    <row r="170" s="1" customFormat="1" x14ac:dyDescent="0.3"/>
    <row r="171" s="1" customFormat="1" x14ac:dyDescent="0.3"/>
    <row r="172" s="1" customFormat="1" x14ac:dyDescent="0.3"/>
    <row r="173" s="1" customFormat="1" x14ac:dyDescent="0.3"/>
    <row r="174" s="1" customFormat="1" x14ac:dyDescent="0.3"/>
    <row r="175" s="1" customFormat="1" x14ac:dyDescent="0.3"/>
    <row r="176" s="1" customFormat="1" x14ac:dyDescent="0.3"/>
    <row r="177" s="1" customFormat="1" x14ac:dyDescent="0.3"/>
    <row r="178" s="1" customFormat="1" x14ac:dyDescent="0.3"/>
    <row r="179" s="1" customFormat="1" x14ac:dyDescent="0.3"/>
    <row r="180" s="1" customFormat="1" x14ac:dyDescent="0.3"/>
    <row r="181" s="1" customFormat="1" x14ac:dyDescent="0.3"/>
    <row r="182" s="1" customFormat="1" x14ac:dyDescent="0.3"/>
    <row r="183" s="1" customFormat="1" x14ac:dyDescent="0.3"/>
    <row r="184" s="1" customFormat="1" x14ac:dyDescent="0.3"/>
    <row r="185" s="1" customFormat="1" x14ac:dyDescent="0.3"/>
    <row r="186" s="1" customFormat="1" x14ac:dyDescent="0.3"/>
    <row r="187" s="1" customFormat="1" x14ac:dyDescent="0.3"/>
    <row r="188" s="1" customFormat="1" x14ac:dyDescent="0.3"/>
    <row r="189" s="1" customFormat="1" x14ac:dyDescent="0.3"/>
    <row r="190" s="1" customFormat="1" x14ac:dyDescent="0.3"/>
    <row r="191" s="1" customFormat="1" x14ac:dyDescent="0.3"/>
    <row r="192" s="1" customFormat="1" x14ac:dyDescent="0.3"/>
    <row r="193" s="1" customFormat="1" x14ac:dyDescent="0.3"/>
    <row r="194" s="1" customFormat="1" x14ac:dyDescent="0.3"/>
    <row r="195" s="1" customFormat="1" x14ac:dyDescent="0.3"/>
    <row r="196" s="1" customFormat="1" x14ac:dyDescent="0.3"/>
    <row r="197" s="1" customFormat="1" x14ac:dyDescent="0.3"/>
    <row r="198" s="1" customFormat="1" x14ac:dyDescent="0.3"/>
    <row r="199" s="1" customFormat="1" x14ac:dyDescent="0.3"/>
    <row r="200" s="1" customFormat="1" x14ac:dyDescent="0.3"/>
  </sheetData>
  <mergeCells count="2">
    <mergeCell ref="B3:C3"/>
    <mergeCell ref="E3:F3"/>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DEE5B-1EED-40A3-B5F9-11A65761A5D6}">
  <sheetPr codeName="Sheet12"/>
  <dimension ref="A1:M200"/>
  <sheetViews>
    <sheetView workbookViewId="0"/>
  </sheetViews>
  <sheetFormatPr defaultColWidth="12" defaultRowHeight="14.4" x14ac:dyDescent="0.3"/>
  <cols>
    <col min="1" max="1" width="10.44140625" style="25" bestFit="1" customWidth="1"/>
    <col min="2" max="2" width="16.77734375" style="12" bestFit="1" customWidth="1"/>
    <col min="3" max="3" width="8.44140625" style="25" bestFit="1" customWidth="1"/>
    <col min="4" max="4" width="17.6640625" style="12" bestFit="1" customWidth="1"/>
    <col min="5" max="5" width="10.44140625" style="25" bestFit="1" customWidth="1"/>
    <col min="6" max="6" width="16.77734375" style="12" bestFit="1" customWidth="1"/>
    <col min="7" max="7" width="8.44140625" style="25" bestFit="1" customWidth="1"/>
    <col min="8" max="8" width="17.6640625" style="12" bestFit="1" customWidth="1"/>
    <col min="9" max="9" width="10.44140625" style="25" bestFit="1" customWidth="1"/>
    <col min="10" max="10" width="16.77734375" style="12" bestFit="1" customWidth="1"/>
    <col min="11" max="11" width="8.44140625" style="25" bestFit="1" customWidth="1"/>
    <col min="12" max="12" width="17.6640625" style="12" bestFit="1" customWidth="1"/>
    <col min="13" max="13" width="2" style="1" bestFit="1" customWidth="1"/>
    <col min="14" max="16384" width="12" style="1"/>
  </cols>
  <sheetData>
    <row r="1" spans="1:13" s="9" customFormat="1" x14ac:dyDescent="0.3">
      <c r="A1" s="8" t="s">
        <v>30</v>
      </c>
      <c r="B1" s="8" t="s">
        <v>34</v>
      </c>
      <c r="C1" s="8" t="s">
        <v>31</v>
      </c>
      <c r="D1" s="9" t="s">
        <v>35</v>
      </c>
      <c r="E1" s="8" t="s">
        <v>30</v>
      </c>
      <c r="F1" s="8" t="s">
        <v>34</v>
      </c>
      <c r="G1" s="8" t="s">
        <v>31</v>
      </c>
      <c r="H1" s="9" t="s">
        <v>35</v>
      </c>
      <c r="I1" s="8" t="s">
        <v>30</v>
      </c>
      <c r="J1" s="8" t="s">
        <v>34</v>
      </c>
      <c r="K1" s="8" t="s">
        <v>31</v>
      </c>
      <c r="L1" s="9" t="s">
        <v>35</v>
      </c>
      <c r="M1" s="9">
        <v>4</v>
      </c>
    </row>
    <row r="2" spans="1:13" x14ac:dyDescent="0.3">
      <c r="A2" s="2" t="s">
        <v>73</v>
      </c>
      <c r="B2" s="50"/>
      <c r="C2" s="25" t="s">
        <v>79</v>
      </c>
      <c r="E2" s="2" t="s">
        <v>77</v>
      </c>
      <c r="F2" s="50"/>
      <c r="G2" s="25" t="s">
        <v>70</v>
      </c>
    </row>
    <row r="3" spans="1:13" x14ac:dyDescent="0.3">
      <c r="A3" s="2" t="s">
        <v>74</v>
      </c>
      <c r="B3" s="50"/>
      <c r="C3" s="25" t="s">
        <v>80</v>
      </c>
      <c r="E3" s="2" t="s">
        <v>78</v>
      </c>
      <c r="F3" s="50"/>
      <c r="G3" s="25" t="s">
        <v>71</v>
      </c>
    </row>
    <row r="4" spans="1:13" x14ac:dyDescent="0.3">
      <c r="A4" s="2" t="s">
        <v>75</v>
      </c>
      <c r="B4" s="50"/>
      <c r="C4" s="25" t="s">
        <v>81</v>
      </c>
      <c r="E4" s="2"/>
      <c r="F4" s="50"/>
      <c r="G4" s="25" t="s">
        <v>72</v>
      </c>
    </row>
    <row r="5" spans="1:13" x14ac:dyDescent="0.3">
      <c r="A5" s="2" t="s">
        <v>76</v>
      </c>
      <c r="B5" s="50"/>
      <c r="E5" s="2"/>
      <c r="F5" s="50"/>
    </row>
    <row r="6" spans="1:13" s="9" customFormat="1" x14ac:dyDescent="0.3">
      <c r="A6" s="9" t="s">
        <v>30</v>
      </c>
      <c r="B6" s="9" t="s">
        <v>34</v>
      </c>
      <c r="C6" s="9" t="s">
        <v>31</v>
      </c>
      <c r="D6" s="9" t="s">
        <v>35</v>
      </c>
      <c r="E6" s="9" t="s">
        <v>30</v>
      </c>
      <c r="F6" s="9" t="s">
        <v>34</v>
      </c>
      <c r="G6" s="9" t="s">
        <v>31</v>
      </c>
      <c r="H6" s="9" t="s">
        <v>35</v>
      </c>
      <c r="I6" s="9" t="s">
        <v>30</v>
      </c>
      <c r="J6" s="9" t="s">
        <v>34</v>
      </c>
      <c r="K6" s="9" t="s">
        <v>31</v>
      </c>
      <c r="L6" s="9" t="s">
        <v>35</v>
      </c>
    </row>
    <row r="11" spans="1:13" s="9" customFormat="1" x14ac:dyDescent="0.3">
      <c r="A11" s="9" t="s">
        <v>30</v>
      </c>
      <c r="B11" s="9" t="s">
        <v>34</v>
      </c>
      <c r="C11" s="9" t="s">
        <v>31</v>
      </c>
      <c r="D11" s="9" t="s">
        <v>35</v>
      </c>
      <c r="E11" s="9" t="s">
        <v>30</v>
      </c>
      <c r="F11" s="9" t="s">
        <v>34</v>
      </c>
      <c r="G11" s="9" t="s">
        <v>31</v>
      </c>
      <c r="H11" s="9" t="s">
        <v>35</v>
      </c>
      <c r="I11" s="9" t="s">
        <v>30</v>
      </c>
      <c r="J11" s="9" t="s">
        <v>34</v>
      </c>
      <c r="K11" s="9" t="s">
        <v>31</v>
      </c>
      <c r="L11" s="9" t="s">
        <v>35</v>
      </c>
    </row>
    <row r="16" spans="1:13" x14ac:dyDescent="0.3">
      <c r="A16" s="1"/>
      <c r="B16" s="1"/>
      <c r="C16" s="1"/>
      <c r="D16" s="1"/>
      <c r="E16" s="1"/>
      <c r="F16" s="1"/>
      <c r="G16" s="1"/>
      <c r="H16" s="1"/>
      <c r="I16" s="1"/>
      <c r="J16" s="1"/>
      <c r="K16" s="1"/>
      <c r="L16" s="1"/>
    </row>
    <row r="17" spans="1:12" x14ac:dyDescent="0.3">
      <c r="A17" s="1"/>
      <c r="B17" s="1"/>
      <c r="C17" s="1"/>
      <c r="D17" s="1"/>
      <c r="E17" s="1"/>
      <c r="F17" s="1"/>
      <c r="G17" s="1"/>
      <c r="H17" s="1"/>
      <c r="I17" s="1"/>
      <c r="J17" s="1"/>
      <c r="K17" s="1"/>
      <c r="L17" s="1"/>
    </row>
    <row r="18" spans="1:12" x14ac:dyDescent="0.3">
      <c r="A18" s="1"/>
      <c r="B18" s="1"/>
      <c r="C18" s="1"/>
      <c r="D18" s="1"/>
      <c r="E18" s="1"/>
      <c r="F18" s="1"/>
      <c r="G18" s="1"/>
      <c r="H18" s="1"/>
      <c r="I18" s="1"/>
      <c r="J18" s="1"/>
      <c r="K18" s="1"/>
      <c r="L18" s="1"/>
    </row>
    <row r="19" spans="1:12" x14ac:dyDescent="0.3">
      <c r="A19" s="1"/>
      <c r="B19" s="1"/>
      <c r="C19" s="1"/>
      <c r="D19" s="1"/>
      <c r="E19" s="1"/>
      <c r="F19" s="1"/>
      <c r="G19" s="1"/>
      <c r="H19" s="1"/>
      <c r="I19" s="1"/>
      <c r="J19" s="1"/>
      <c r="K19" s="1"/>
      <c r="L19" s="1"/>
    </row>
    <row r="20" spans="1:12" x14ac:dyDescent="0.3">
      <c r="A20" s="1"/>
      <c r="B20" s="1"/>
      <c r="C20" s="1"/>
      <c r="D20" s="1"/>
      <c r="E20" s="1"/>
      <c r="F20" s="1"/>
      <c r="G20" s="1"/>
      <c r="H20" s="1"/>
      <c r="I20" s="1"/>
      <c r="J20" s="1"/>
      <c r="K20" s="1"/>
      <c r="L20" s="1"/>
    </row>
    <row r="21" spans="1:12" x14ac:dyDescent="0.3">
      <c r="A21" s="1"/>
      <c r="B21" s="1"/>
      <c r="C21" s="1"/>
      <c r="D21" s="1"/>
      <c r="E21" s="1"/>
      <c r="F21" s="1"/>
      <c r="G21" s="1"/>
      <c r="H21" s="1"/>
      <c r="I21" s="1"/>
      <c r="J21" s="1"/>
      <c r="K21" s="1"/>
      <c r="L21" s="1"/>
    </row>
    <row r="22" spans="1:12" x14ac:dyDescent="0.3">
      <c r="A22" s="1"/>
      <c r="B22" s="1"/>
      <c r="C22" s="1"/>
      <c r="D22" s="1"/>
      <c r="E22" s="1"/>
      <c r="F22" s="1"/>
      <c r="G22" s="1"/>
      <c r="H22" s="1"/>
      <c r="I22" s="1"/>
      <c r="J22" s="1"/>
      <c r="K22" s="1"/>
      <c r="L22" s="1"/>
    </row>
    <row r="23" spans="1:12" x14ac:dyDescent="0.3">
      <c r="A23" s="1"/>
      <c r="B23" s="1"/>
      <c r="C23" s="1"/>
      <c r="D23" s="1"/>
      <c r="E23" s="1"/>
      <c r="F23" s="1"/>
      <c r="G23" s="1"/>
      <c r="H23" s="1"/>
      <c r="I23" s="1"/>
      <c r="J23" s="1"/>
      <c r="K23" s="1"/>
      <c r="L23" s="1"/>
    </row>
    <row r="24" spans="1:12" x14ac:dyDescent="0.3">
      <c r="A24" s="1"/>
      <c r="B24" s="1"/>
      <c r="C24" s="1"/>
      <c r="D24" s="1"/>
      <c r="E24" s="1"/>
      <c r="F24" s="1"/>
      <c r="G24" s="1"/>
      <c r="H24" s="1"/>
      <c r="I24" s="1"/>
      <c r="J24" s="1"/>
      <c r="K24" s="1"/>
      <c r="L24" s="1"/>
    </row>
    <row r="25" spans="1:12" x14ac:dyDescent="0.3">
      <c r="A25" s="1"/>
      <c r="B25" s="1"/>
      <c r="C25" s="1"/>
      <c r="D25" s="1"/>
      <c r="E25" s="1"/>
      <c r="F25" s="1"/>
      <c r="G25" s="1"/>
      <c r="H25" s="1"/>
      <c r="I25" s="1"/>
      <c r="J25" s="1"/>
      <c r="K25" s="1"/>
      <c r="L25" s="1"/>
    </row>
    <row r="26" spans="1:12" x14ac:dyDescent="0.3">
      <c r="A26" s="1"/>
      <c r="B26" s="1"/>
      <c r="C26" s="1"/>
      <c r="D26" s="1"/>
      <c r="E26" s="1"/>
      <c r="F26" s="1"/>
      <c r="G26" s="1"/>
      <c r="H26" s="1"/>
      <c r="I26" s="1"/>
      <c r="J26" s="1"/>
      <c r="K26" s="1"/>
      <c r="L26" s="1"/>
    </row>
    <row r="27" spans="1:12" x14ac:dyDescent="0.3">
      <c r="A27" s="1"/>
      <c r="B27" s="1"/>
      <c r="C27" s="1"/>
      <c r="D27" s="1"/>
      <c r="E27" s="1"/>
      <c r="F27" s="1"/>
      <c r="G27" s="1"/>
      <c r="H27" s="1"/>
      <c r="I27" s="1"/>
      <c r="J27" s="1"/>
      <c r="K27" s="1"/>
      <c r="L27" s="1"/>
    </row>
    <row r="28" spans="1:12" x14ac:dyDescent="0.3">
      <c r="A28" s="1"/>
      <c r="B28" s="1"/>
      <c r="C28" s="1"/>
      <c r="D28" s="1"/>
      <c r="E28" s="1"/>
      <c r="F28" s="1"/>
      <c r="G28" s="1"/>
      <c r="H28" s="1"/>
      <c r="I28" s="1"/>
      <c r="J28" s="1"/>
      <c r="K28" s="1"/>
      <c r="L28" s="1"/>
    </row>
    <row r="29" spans="1:12" x14ac:dyDescent="0.3">
      <c r="A29" s="1"/>
      <c r="B29" s="1"/>
      <c r="C29" s="1"/>
      <c r="D29" s="1"/>
      <c r="E29" s="1"/>
      <c r="F29" s="1"/>
      <c r="G29" s="1"/>
      <c r="H29" s="1"/>
      <c r="I29" s="1"/>
      <c r="J29" s="1"/>
      <c r="K29" s="1"/>
      <c r="L29" s="1"/>
    </row>
    <row r="30" spans="1:12" x14ac:dyDescent="0.3">
      <c r="A30" s="1"/>
      <c r="B30" s="1"/>
      <c r="C30" s="1"/>
      <c r="D30" s="1"/>
      <c r="E30" s="1"/>
      <c r="F30" s="1"/>
      <c r="G30" s="1"/>
      <c r="H30" s="1"/>
      <c r="I30" s="1"/>
      <c r="J30" s="1"/>
      <c r="K30" s="1"/>
      <c r="L30" s="1"/>
    </row>
    <row r="31" spans="1:12" x14ac:dyDescent="0.3">
      <c r="A31" s="1"/>
      <c r="B31" s="1"/>
      <c r="C31" s="1"/>
      <c r="D31" s="1"/>
      <c r="E31" s="1"/>
      <c r="F31" s="1"/>
      <c r="G31" s="1"/>
      <c r="H31" s="1"/>
      <c r="I31" s="1"/>
      <c r="J31" s="1"/>
      <c r="K31" s="1"/>
      <c r="L31" s="1"/>
    </row>
    <row r="32" spans="1:12" x14ac:dyDescent="0.3">
      <c r="A32" s="1"/>
      <c r="B32" s="1"/>
      <c r="C32" s="1"/>
      <c r="D32" s="1"/>
      <c r="E32" s="1"/>
      <c r="F32" s="1"/>
      <c r="G32" s="1"/>
      <c r="H32" s="1"/>
      <c r="I32" s="1"/>
      <c r="J32" s="1"/>
      <c r="K32" s="1"/>
      <c r="L32" s="1"/>
    </row>
    <row r="33" spans="1:12" x14ac:dyDescent="0.3">
      <c r="A33" s="1"/>
      <c r="B33" s="1"/>
      <c r="C33" s="1"/>
      <c r="D33" s="1"/>
      <c r="E33" s="1"/>
      <c r="F33" s="1"/>
      <c r="G33" s="1"/>
      <c r="H33" s="1"/>
      <c r="I33" s="1"/>
      <c r="J33" s="1"/>
      <c r="K33" s="1"/>
      <c r="L33" s="1"/>
    </row>
    <row r="34" spans="1:12" x14ac:dyDescent="0.3">
      <c r="A34" s="1"/>
      <c r="B34" s="1"/>
      <c r="C34" s="1"/>
      <c r="D34" s="1"/>
      <c r="E34" s="1"/>
      <c r="F34" s="1"/>
      <c r="G34" s="1"/>
      <c r="H34" s="1"/>
      <c r="I34" s="1"/>
      <c r="J34" s="1"/>
      <c r="K34" s="1"/>
      <c r="L34" s="1"/>
    </row>
    <row r="35" spans="1:12" x14ac:dyDescent="0.3">
      <c r="A35" s="1"/>
      <c r="B35" s="1"/>
      <c r="C35" s="1"/>
      <c r="D35" s="1"/>
      <c r="E35" s="1"/>
      <c r="F35" s="1"/>
      <c r="G35" s="1"/>
      <c r="H35" s="1"/>
      <c r="I35" s="1"/>
      <c r="J35" s="1"/>
      <c r="K35" s="1"/>
      <c r="L35" s="1"/>
    </row>
    <row r="36" spans="1:12" x14ac:dyDescent="0.3">
      <c r="A36" s="1"/>
      <c r="B36" s="1"/>
      <c r="C36" s="1"/>
      <c r="D36" s="1"/>
      <c r="E36" s="1"/>
      <c r="F36" s="1"/>
      <c r="G36" s="1"/>
      <c r="H36" s="1"/>
      <c r="I36" s="1"/>
      <c r="J36" s="1"/>
      <c r="K36" s="1"/>
      <c r="L36" s="1"/>
    </row>
    <row r="37" spans="1:12" x14ac:dyDescent="0.3">
      <c r="A37" s="1"/>
      <c r="B37" s="1"/>
      <c r="C37" s="1"/>
      <c r="D37" s="1"/>
      <c r="E37" s="1"/>
      <c r="F37" s="1"/>
      <c r="G37" s="1"/>
      <c r="H37" s="1"/>
      <c r="I37" s="1"/>
      <c r="J37" s="1"/>
      <c r="K37" s="1"/>
      <c r="L37" s="1"/>
    </row>
    <row r="38" spans="1:12" x14ac:dyDescent="0.3">
      <c r="A38" s="1"/>
      <c r="B38" s="1"/>
      <c r="C38" s="1"/>
      <c r="D38" s="1"/>
      <c r="E38" s="1"/>
      <c r="F38" s="1"/>
      <c r="G38" s="1"/>
      <c r="H38" s="1"/>
      <c r="I38" s="1"/>
      <c r="J38" s="1"/>
      <c r="K38" s="1"/>
      <c r="L38" s="1"/>
    </row>
    <row r="39" spans="1:12" x14ac:dyDescent="0.3">
      <c r="A39" s="1"/>
      <c r="B39" s="1"/>
      <c r="C39" s="1"/>
      <c r="D39" s="1"/>
      <c r="E39" s="1"/>
      <c r="F39" s="1"/>
      <c r="G39" s="1"/>
      <c r="H39" s="1"/>
      <c r="I39" s="1"/>
      <c r="J39" s="1"/>
      <c r="K39" s="1"/>
      <c r="L39" s="1"/>
    </row>
    <row r="40" spans="1:12" x14ac:dyDescent="0.3">
      <c r="A40" s="1"/>
      <c r="B40" s="1"/>
      <c r="C40" s="1"/>
      <c r="D40" s="1"/>
      <c r="E40" s="1"/>
      <c r="F40" s="1"/>
      <c r="G40" s="1"/>
      <c r="H40" s="1"/>
      <c r="I40" s="1"/>
      <c r="J40" s="1"/>
      <c r="K40" s="1"/>
      <c r="L40" s="1"/>
    </row>
    <row r="41" spans="1:12" x14ac:dyDescent="0.3">
      <c r="A41" s="1"/>
      <c r="B41" s="1"/>
      <c r="C41" s="1"/>
      <c r="D41" s="1"/>
      <c r="E41" s="1"/>
      <c r="F41" s="1"/>
      <c r="G41" s="1"/>
      <c r="H41" s="1"/>
      <c r="I41" s="1"/>
      <c r="J41" s="1"/>
      <c r="K41" s="1"/>
      <c r="L41" s="1"/>
    </row>
    <row r="42" spans="1:12" x14ac:dyDescent="0.3">
      <c r="A42" s="1"/>
      <c r="B42" s="1"/>
      <c r="C42" s="1"/>
      <c r="D42" s="1"/>
      <c r="E42" s="1"/>
      <c r="F42" s="1"/>
      <c r="G42" s="1"/>
      <c r="H42" s="1"/>
      <c r="I42" s="1"/>
      <c r="J42" s="1"/>
      <c r="K42" s="1"/>
      <c r="L42" s="1"/>
    </row>
    <row r="43" spans="1:12" x14ac:dyDescent="0.3">
      <c r="A43" s="1"/>
      <c r="B43" s="1"/>
      <c r="C43" s="1"/>
      <c r="D43" s="1"/>
      <c r="E43" s="1"/>
      <c r="F43" s="1"/>
      <c r="G43" s="1"/>
      <c r="H43" s="1"/>
      <c r="I43" s="1"/>
      <c r="J43" s="1"/>
      <c r="K43" s="1"/>
      <c r="L43" s="1"/>
    </row>
    <row r="44" spans="1:12" x14ac:dyDescent="0.3">
      <c r="A44" s="1"/>
      <c r="B44" s="1"/>
      <c r="C44" s="1"/>
      <c r="D44" s="1"/>
      <c r="E44" s="1"/>
      <c r="F44" s="1"/>
      <c r="G44" s="1"/>
      <c r="H44" s="1"/>
      <c r="I44" s="1"/>
      <c r="J44" s="1"/>
      <c r="K44" s="1"/>
      <c r="L44" s="1"/>
    </row>
    <row r="45" spans="1:12" x14ac:dyDescent="0.3">
      <c r="A45" s="1"/>
      <c r="B45" s="1"/>
      <c r="C45" s="1"/>
      <c r="D45" s="1"/>
      <c r="E45" s="1"/>
      <c r="F45" s="1"/>
      <c r="G45" s="1"/>
      <c r="H45" s="1"/>
      <c r="I45" s="1"/>
      <c r="J45" s="1"/>
      <c r="K45" s="1"/>
      <c r="L45" s="1"/>
    </row>
    <row r="46" spans="1:12" x14ac:dyDescent="0.3">
      <c r="A46" s="1"/>
      <c r="B46" s="1"/>
      <c r="C46" s="1"/>
      <c r="D46" s="1"/>
      <c r="E46" s="1"/>
      <c r="F46" s="1"/>
      <c r="G46" s="1"/>
      <c r="H46" s="1"/>
      <c r="I46" s="1"/>
      <c r="J46" s="1"/>
      <c r="K46" s="1"/>
      <c r="L46" s="1"/>
    </row>
    <row r="47" spans="1:12" x14ac:dyDescent="0.3">
      <c r="A47" s="1"/>
      <c r="B47" s="1"/>
      <c r="C47" s="1"/>
      <c r="D47" s="1"/>
      <c r="E47" s="1"/>
      <c r="F47" s="1"/>
      <c r="G47" s="1"/>
      <c r="H47" s="1"/>
      <c r="I47" s="1"/>
      <c r="J47" s="1"/>
      <c r="K47" s="1"/>
      <c r="L47" s="1"/>
    </row>
    <row r="48" spans="1:12" x14ac:dyDescent="0.3">
      <c r="A48" s="1"/>
      <c r="B48" s="1"/>
      <c r="C48" s="1"/>
      <c r="D48" s="1"/>
      <c r="E48" s="1"/>
      <c r="F48" s="1"/>
      <c r="G48" s="1"/>
      <c r="H48" s="1"/>
      <c r="I48" s="1"/>
      <c r="J48" s="1"/>
      <c r="K48" s="1"/>
      <c r="L48" s="1"/>
    </row>
    <row r="49" spans="1:12" x14ac:dyDescent="0.3">
      <c r="A49" s="1"/>
      <c r="B49" s="1"/>
      <c r="C49" s="1"/>
      <c r="D49" s="1"/>
      <c r="E49" s="1"/>
      <c r="F49" s="1"/>
      <c r="G49" s="1"/>
      <c r="H49" s="1"/>
      <c r="I49" s="1"/>
      <c r="J49" s="1"/>
      <c r="K49" s="1"/>
      <c r="L49" s="1"/>
    </row>
    <row r="50" spans="1:12" x14ac:dyDescent="0.3">
      <c r="A50" s="1"/>
      <c r="B50" s="1"/>
      <c r="C50" s="1"/>
      <c r="D50" s="1"/>
      <c r="E50" s="1"/>
      <c r="F50" s="1"/>
      <c r="G50" s="1"/>
      <c r="H50" s="1"/>
      <c r="I50" s="1"/>
      <c r="J50" s="1"/>
      <c r="K50" s="1"/>
      <c r="L50" s="1"/>
    </row>
    <row r="51" spans="1:12" x14ac:dyDescent="0.3">
      <c r="A51" s="1"/>
      <c r="B51" s="1"/>
      <c r="C51" s="1"/>
      <c r="D51" s="1"/>
      <c r="E51" s="1"/>
      <c r="F51" s="1"/>
      <c r="G51" s="1"/>
      <c r="H51" s="1"/>
      <c r="I51" s="1"/>
      <c r="J51" s="1"/>
      <c r="K51" s="1"/>
      <c r="L51" s="1"/>
    </row>
    <row r="52" spans="1:12" x14ac:dyDescent="0.3">
      <c r="A52" s="1"/>
      <c r="B52" s="1"/>
      <c r="C52" s="1"/>
      <c r="D52" s="1"/>
      <c r="E52" s="1"/>
      <c r="F52" s="1"/>
      <c r="G52" s="1"/>
      <c r="H52" s="1"/>
      <c r="I52" s="1"/>
      <c r="J52" s="1"/>
      <c r="K52" s="1"/>
      <c r="L52" s="1"/>
    </row>
    <row r="53" spans="1:12" x14ac:dyDescent="0.3">
      <c r="A53" s="1"/>
      <c r="B53" s="1"/>
      <c r="C53" s="1"/>
      <c r="D53" s="1"/>
      <c r="E53" s="1"/>
      <c r="F53" s="1"/>
      <c r="G53" s="1"/>
      <c r="H53" s="1"/>
      <c r="I53" s="1"/>
      <c r="J53" s="1"/>
      <c r="K53" s="1"/>
      <c r="L53" s="1"/>
    </row>
    <row r="54" spans="1:12" x14ac:dyDescent="0.3">
      <c r="A54" s="1"/>
      <c r="B54" s="1"/>
      <c r="C54" s="1"/>
      <c r="D54" s="1"/>
      <c r="E54" s="1"/>
      <c r="F54" s="1"/>
      <c r="G54" s="1"/>
      <c r="H54" s="1"/>
      <c r="I54" s="1"/>
      <c r="J54" s="1"/>
      <c r="K54" s="1"/>
      <c r="L54" s="1"/>
    </row>
    <row r="55" spans="1:12" x14ac:dyDescent="0.3">
      <c r="A55" s="1"/>
      <c r="B55" s="1"/>
      <c r="C55" s="1"/>
      <c r="D55" s="1"/>
      <c r="E55" s="1"/>
      <c r="F55" s="1"/>
      <c r="G55" s="1"/>
      <c r="H55" s="1"/>
      <c r="I55" s="1"/>
      <c r="J55" s="1"/>
      <c r="K55" s="1"/>
      <c r="L55" s="1"/>
    </row>
    <row r="56" spans="1:12" x14ac:dyDescent="0.3">
      <c r="A56" s="1"/>
      <c r="B56" s="1"/>
      <c r="C56" s="1"/>
      <c r="D56" s="1"/>
      <c r="E56" s="1"/>
      <c r="F56" s="1"/>
      <c r="G56" s="1"/>
      <c r="H56" s="1"/>
      <c r="I56" s="1"/>
      <c r="J56" s="1"/>
      <c r="K56" s="1"/>
      <c r="L56" s="1"/>
    </row>
    <row r="57" spans="1:12" x14ac:dyDescent="0.3">
      <c r="A57" s="1"/>
      <c r="B57" s="1"/>
      <c r="C57" s="1"/>
      <c r="D57" s="1"/>
      <c r="E57" s="1"/>
      <c r="F57" s="1"/>
      <c r="G57" s="1"/>
      <c r="H57" s="1"/>
      <c r="I57" s="1"/>
      <c r="J57" s="1"/>
      <c r="K57" s="1"/>
      <c r="L57" s="1"/>
    </row>
    <row r="58" spans="1:12" x14ac:dyDescent="0.3">
      <c r="A58" s="1"/>
      <c r="B58" s="1"/>
      <c r="C58" s="1"/>
      <c r="D58" s="1"/>
      <c r="E58" s="1"/>
      <c r="F58" s="1"/>
      <c r="G58" s="1"/>
      <c r="H58" s="1"/>
      <c r="I58" s="1"/>
      <c r="J58" s="1"/>
      <c r="K58" s="1"/>
      <c r="L58" s="1"/>
    </row>
    <row r="59" spans="1:12" x14ac:dyDescent="0.3">
      <c r="A59" s="1"/>
      <c r="B59" s="1"/>
      <c r="C59" s="1"/>
      <c r="D59" s="1"/>
      <c r="E59" s="1"/>
      <c r="F59" s="1"/>
      <c r="G59" s="1"/>
      <c r="H59" s="1"/>
      <c r="I59" s="1"/>
      <c r="J59" s="1"/>
      <c r="K59" s="1"/>
      <c r="L59" s="1"/>
    </row>
    <row r="60" spans="1:12" x14ac:dyDescent="0.3">
      <c r="A60" s="1"/>
      <c r="B60" s="1"/>
      <c r="C60" s="1"/>
      <c r="D60" s="1"/>
      <c r="E60" s="1"/>
      <c r="F60" s="1"/>
      <c r="G60" s="1"/>
      <c r="H60" s="1"/>
      <c r="I60" s="1"/>
      <c r="J60" s="1"/>
      <c r="K60" s="1"/>
      <c r="L60" s="1"/>
    </row>
    <row r="61" spans="1:12" x14ac:dyDescent="0.3">
      <c r="A61" s="1"/>
      <c r="B61" s="1"/>
      <c r="C61" s="1"/>
      <c r="D61" s="1"/>
      <c r="E61" s="1"/>
      <c r="F61" s="1"/>
      <c r="G61" s="1"/>
      <c r="H61" s="1"/>
      <c r="I61" s="1"/>
      <c r="J61" s="1"/>
      <c r="K61" s="1"/>
      <c r="L61" s="1"/>
    </row>
    <row r="62" spans="1:12" x14ac:dyDescent="0.3">
      <c r="A62" s="1"/>
      <c r="B62" s="1"/>
      <c r="C62" s="1"/>
      <c r="D62" s="1"/>
      <c r="E62" s="1"/>
      <c r="F62" s="1"/>
      <c r="G62" s="1"/>
      <c r="H62" s="1"/>
      <c r="I62" s="1"/>
      <c r="J62" s="1"/>
      <c r="K62" s="1"/>
      <c r="L62" s="1"/>
    </row>
    <row r="63" spans="1:12" x14ac:dyDescent="0.3">
      <c r="A63" s="1"/>
      <c r="B63" s="1"/>
      <c r="C63" s="1"/>
      <c r="D63" s="1"/>
      <c r="E63" s="1"/>
      <c r="F63" s="1"/>
      <c r="G63" s="1"/>
      <c r="H63" s="1"/>
      <c r="I63" s="1"/>
      <c r="J63" s="1"/>
      <c r="K63" s="1"/>
      <c r="L63" s="1"/>
    </row>
    <row r="64" spans="1:12" x14ac:dyDescent="0.3">
      <c r="A64" s="1"/>
      <c r="B64" s="1"/>
      <c r="C64" s="1"/>
      <c r="D64" s="1"/>
      <c r="E64" s="1"/>
      <c r="F64" s="1"/>
      <c r="G64" s="1"/>
      <c r="H64" s="1"/>
      <c r="I64" s="1"/>
      <c r="J64" s="1"/>
      <c r="K64" s="1"/>
      <c r="L64" s="1"/>
    </row>
    <row r="65" spans="1:12" x14ac:dyDescent="0.3">
      <c r="A65" s="1"/>
      <c r="B65" s="1"/>
      <c r="C65" s="1"/>
      <c r="D65" s="1"/>
      <c r="E65" s="1"/>
      <c r="F65" s="1"/>
      <c r="G65" s="1"/>
      <c r="H65" s="1"/>
      <c r="I65" s="1"/>
      <c r="J65" s="1"/>
      <c r="K65" s="1"/>
      <c r="L65" s="1"/>
    </row>
    <row r="66" spans="1:12" x14ac:dyDescent="0.3">
      <c r="A66" s="1"/>
      <c r="B66" s="1"/>
      <c r="C66" s="1"/>
      <c r="D66" s="1"/>
      <c r="E66" s="1"/>
      <c r="F66" s="1"/>
      <c r="G66" s="1"/>
      <c r="H66" s="1"/>
      <c r="I66" s="1"/>
      <c r="J66" s="1"/>
      <c r="K66" s="1"/>
      <c r="L66" s="1"/>
    </row>
    <row r="67" spans="1:12" x14ac:dyDescent="0.3">
      <c r="A67" s="1"/>
      <c r="B67" s="1"/>
      <c r="C67" s="1"/>
      <c r="D67" s="1"/>
      <c r="E67" s="1"/>
      <c r="F67" s="1"/>
      <c r="G67" s="1"/>
      <c r="H67" s="1"/>
      <c r="I67" s="1"/>
      <c r="J67" s="1"/>
      <c r="K67" s="1"/>
      <c r="L67" s="1"/>
    </row>
    <row r="68" spans="1:12" x14ac:dyDescent="0.3">
      <c r="A68" s="1"/>
      <c r="B68" s="1"/>
      <c r="C68" s="1"/>
      <c r="D68" s="1"/>
      <c r="E68" s="1"/>
      <c r="F68" s="1"/>
      <c r="G68" s="1"/>
      <c r="H68" s="1"/>
      <c r="I68" s="1"/>
      <c r="J68" s="1"/>
      <c r="K68" s="1"/>
      <c r="L68" s="1"/>
    </row>
    <row r="69" spans="1:12" x14ac:dyDescent="0.3">
      <c r="A69" s="1"/>
      <c r="B69" s="1"/>
      <c r="C69" s="1"/>
      <c r="D69" s="1"/>
      <c r="E69" s="1"/>
      <c r="F69" s="1"/>
      <c r="G69" s="1"/>
      <c r="H69" s="1"/>
      <c r="I69" s="1"/>
      <c r="J69" s="1"/>
      <c r="K69" s="1"/>
      <c r="L69" s="1"/>
    </row>
    <row r="70" spans="1:12" x14ac:dyDescent="0.3">
      <c r="A70" s="1"/>
      <c r="B70" s="1"/>
      <c r="C70" s="1"/>
      <c r="D70" s="1"/>
      <c r="E70" s="1"/>
      <c r="F70" s="1"/>
      <c r="G70" s="1"/>
      <c r="H70" s="1"/>
      <c r="I70" s="1"/>
      <c r="J70" s="1"/>
      <c r="K70" s="1"/>
      <c r="L70" s="1"/>
    </row>
    <row r="71" spans="1:12" x14ac:dyDescent="0.3">
      <c r="A71" s="1"/>
      <c r="B71" s="1"/>
      <c r="C71" s="1"/>
      <c r="D71" s="1"/>
      <c r="E71" s="1"/>
      <c r="F71" s="1"/>
      <c r="G71" s="1"/>
      <c r="H71" s="1"/>
      <c r="I71" s="1"/>
      <c r="J71" s="1"/>
      <c r="K71" s="1"/>
      <c r="L71" s="1"/>
    </row>
    <row r="72" spans="1:12" x14ac:dyDescent="0.3">
      <c r="A72" s="1"/>
      <c r="B72" s="1"/>
      <c r="C72" s="1"/>
      <c r="D72" s="1"/>
      <c r="E72" s="1"/>
      <c r="F72" s="1"/>
      <c r="G72" s="1"/>
      <c r="H72" s="1"/>
      <c r="I72" s="1"/>
      <c r="J72" s="1"/>
      <c r="K72" s="1"/>
      <c r="L72" s="1"/>
    </row>
    <row r="73" spans="1:12" x14ac:dyDescent="0.3">
      <c r="A73" s="1"/>
      <c r="B73" s="1"/>
      <c r="C73" s="1"/>
      <c r="D73" s="1"/>
      <c r="E73" s="1"/>
      <c r="F73" s="1"/>
      <c r="G73" s="1"/>
      <c r="H73" s="1"/>
      <c r="I73" s="1"/>
      <c r="J73" s="1"/>
      <c r="K73" s="1"/>
      <c r="L73" s="1"/>
    </row>
    <row r="74" spans="1:12" x14ac:dyDescent="0.3">
      <c r="A74" s="1"/>
      <c r="B74" s="1"/>
      <c r="C74" s="1"/>
      <c r="D74" s="1"/>
      <c r="E74" s="1"/>
      <c r="F74" s="1"/>
      <c r="G74" s="1"/>
      <c r="H74" s="1"/>
      <c r="I74" s="1"/>
      <c r="J74" s="1"/>
      <c r="K74" s="1"/>
      <c r="L74" s="1"/>
    </row>
    <row r="75" spans="1:12" x14ac:dyDescent="0.3">
      <c r="A75" s="1"/>
      <c r="B75" s="1"/>
      <c r="C75" s="1"/>
      <c r="D75" s="1"/>
      <c r="E75" s="1"/>
      <c r="F75" s="1"/>
      <c r="G75" s="1"/>
      <c r="H75" s="1"/>
      <c r="I75" s="1"/>
      <c r="J75" s="1"/>
      <c r="K75" s="1"/>
      <c r="L75" s="1"/>
    </row>
    <row r="76" spans="1:12" x14ac:dyDescent="0.3">
      <c r="A76" s="1"/>
      <c r="B76" s="1"/>
      <c r="C76" s="1"/>
      <c r="D76" s="1"/>
      <c r="E76" s="1"/>
      <c r="F76" s="1"/>
      <c r="G76" s="1"/>
      <c r="H76" s="1"/>
      <c r="I76" s="1"/>
      <c r="J76" s="1"/>
      <c r="K76" s="1"/>
      <c r="L76" s="1"/>
    </row>
    <row r="77" spans="1:12" x14ac:dyDescent="0.3">
      <c r="A77" s="1"/>
      <c r="B77" s="1"/>
      <c r="C77" s="1"/>
      <c r="D77" s="1"/>
      <c r="E77" s="1"/>
      <c r="F77" s="1"/>
      <c r="G77" s="1"/>
      <c r="H77" s="1"/>
      <c r="I77" s="1"/>
      <c r="J77" s="1"/>
      <c r="K77" s="1"/>
      <c r="L77" s="1"/>
    </row>
    <row r="78" spans="1:12" x14ac:dyDescent="0.3">
      <c r="A78" s="1"/>
      <c r="B78" s="1"/>
      <c r="C78" s="1"/>
      <c r="D78" s="1"/>
      <c r="E78" s="1"/>
      <c r="F78" s="1"/>
      <c r="G78" s="1"/>
      <c r="H78" s="1"/>
      <c r="I78" s="1"/>
      <c r="J78" s="1"/>
      <c r="K78" s="1"/>
      <c r="L78" s="1"/>
    </row>
    <row r="79" spans="1:12" x14ac:dyDescent="0.3">
      <c r="A79" s="1"/>
      <c r="B79" s="1"/>
      <c r="C79" s="1"/>
      <c r="D79" s="1"/>
      <c r="E79" s="1"/>
      <c r="F79" s="1"/>
      <c r="G79" s="1"/>
      <c r="H79" s="1"/>
      <c r="I79" s="1"/>
      <c r="J79" s="1"/>
      <c r="K79" s="1"/>
      <c r="L79" s="1"/>
    </row>
    <row r="80" spans="1:12" x14ac:dyDescent="0.3">
      <c r="A80" s="1"/>
      <c r="B80" s="1"/>
      <c r="C80" s="1"/>
      <c r="D80" s="1"/>
      <c r="E80" s="1"/>
      <c r="F80" s="1"/>
      <c r="G80" s="1"/>
      <c r="H80" s="1"/>
      <c r="I80" s="1"/>
      <c r="J80" s="1"/>
      <c r="K80" s="1"/>
      <c r="L80" s="1"/>
    </row>
    <row r="81" spans="1:12" x14ac:dyDescent="0.3">
      <c r="A81" s="1"/>
      <c r="B81" s="1"/>
      <c r="C81" s="1"/>
      <c r="D81" s="1"/>
      <c r="E81" s="1"/>
      <c r="F81" s="1"/>
      <c r="G81" s="1"/>
      <c r="H81" s="1"/>
      <c r="I81" s="1"/>
      <c r="J81" s="1"/>
      <c r="K81" s="1"/>
      <c r="L81" s="1"/>
    </row>
    <row r="82" spans="1:12" x14ac:dyDescent="0.3">
      <c r="A82" s="1"/>
      <c r="B82" s="1"/>
      <c r="C82" s="1"/>
      <c r="D82" s="1"/>
      <c r="E82" s="1"/>
      <c r="F82" s="1"/>
      <c r="G82" s="1"/>
      <c r="H82" s="1"/>
      <c r="I82" s="1"/>
      <c r="J82" s="1"/>
      <c r="K82" s="1"/>
      <c r="L82" s="1"/>
    </row>
    <row r="83" spans="1:12" x14ac:dyDescent="0.3">
      <c r="A83" s="1"/>
      <c r="B83" s="1"/>
      <c r="C83" s="1"/>
      <c r="D83" s="1"/>
      <c r="E83" s="1"/>
      <c r="F83" s="1"/>
      <c r="G83" s="1"/>
      <c r="H83" s="1"/>
      <c r="I83" s="1"/>
      <c r="J83" s="1"/>
      <c r="K83" s="1"/>
      <c r="L83" s="1"/>
    </row>
    <row r="84" spans="1:12" x14ac:dyDescent="0.3">
      <c r="A84" s="1"/>
      <c r="B84" s="1"/>
      <c r="C84" s="1"/>
      <c r="D84" s="1"/>
      <c r="E84" s="1"/>
      <c r="F84" s="1"/>
      <c r="G84" s="1"/>
      <c r="H84" s="1"/>
      <c r="I84" s="1"/>
      <c r="J84" s="1"/>
      <c r="K84" s="1"/>
      <c r="L84" s="1"/>
    </row>
    <row r="85" spans="1:12" x14ac:dyDescent="0.3">
      <c r="A85" s="1"/>
      <c r="B85" s="1"/>
      <c r="C85" s="1"/>
      <c r="D85" s="1"/>
      <c r="E85" s="1"/>
      <c r="F85" s="1"/>
      <c r="G85" s="1"/>
      <c r="H85" s="1"/>
      <c r="I85" s="1"/>
      <c r="J85" s="1"/>
      <c r="K85" s="1"/>
      <c r="L85" s="1"/>
    </row>
    <row r="86" spans="1:12" x14ac:dyDescent="0.3">
      <c r="A86" s="1"/>
      <c r="B86" s="1"/>
      <c r="C86" s="1"/>
      <c r="D86" s="1"/>
      <c r="E86" s="1"/>
      <c r="F86" s="1"/>
      <c r="G86" s="1"/>
      <c r="H86" s="1"/>
      <c r="I86" s="1"/>
      <c r="J86" s="1"/>
      <c r="K86" s="1"/>
      <c r="L86" s="1"/>
    </row>
    <row r="87" spans="1:12" x14ac:dyDescent="0.3">
      <c r="A87" s="1"/>
      <c r="B87" s="1"/>
      <c r="C87" s="1"/>
      <c r="D87" s="1"/>
      <c r="E87" s="1"/>
      <c r="F87" s="1"/>
      <c r="G87" s="1"/>
      <c r="H87" s="1"/>
      <c r="I87" s="1"/>
      <c r="J87" s="1"/>
      <c r="K87" s="1"/>
      <c r="L87" s="1"/>
    </row>
    <row r="88" spans="1:12" x14ac:dyDescent="0.3">
      <c r="A88" s="1"/>
      <c r="B88" s="1"/>
      <c r="C88" s="1"/>
      <c r="D88" s="1"/>
      <c r="E88" s="1"/>
      <c r="F88" s="1"/>
      <c r="G88" s="1"/>
      <c r="H88" s="1"/>
      <c r="I88" s="1"/>
      <c r="J88" s="1"/>
      <c r="K88" s="1"/>
      <c r="L88" s="1"/>
    </row>
    <row r="89" spans="1:12" x14ac:dyDescent="0.3">
      <c r="A89" s="1"/>
      <c r="B89" s="1"/>
      <c r="C89" s="1"/>
      <c r="D89" s="1"/>
      <c r="E89" s="1"/>
      <c r="F89" s="1"/>
      <c r="G89" s="1"/>
      <c r="H89" s="1"/>
      <c r="I89" s="1"/>
      <c r="J89" s="1"/>
      <c r="K89" s="1"/>
      <c r="L89" s="1"/>
    </row>
    <row r="90" spans="1:12" x14ac:dyDescent="0.3">
      <c r="A90" s="1"/>
      <c r="B90" s="1"/>
      <c r="C90" s="1"/>
      <c r="D90" s="1"/>
      <c r="E90" s="1"/>
      <c r="F90" s="1"/>
      <c r="G90" s="1"/>
      <c r="H90" s="1"/>
      <c r="I90" s="1"/>
      <c r="J90" s="1"/>
      <c r="K90" s="1"/>
      <c r="L90" s="1"/>
    </row>
    <row r="91" spans="1:12" x14ac:dyDescent="0.3">
      <c r="A91" s="1"/>
      <c r="B91" s="1"/>
      <c r="C91" s="1"/>
      <c r="D91" s="1"/>
      <c r="E91" s="1"/>
      <c r="F91" s="1"/>
      <c r="G91" s="1"/>
      <c r="H91" s="1"/>
      <c r="I91" s="1"/>
      <c r="J91" s="1"/>
      <c r="K91" s="1"/>
      <c r="L91" s="1"/>
    </row>
    <row r="92" spans="1:12" x14ac:dyDescent="0.3">
      <c r="A92" s="1"/>
      <c r="B92" s="1"/>
      <c r="C92" s="1"/>
      <c r="D92" s="1"/>
      <c r="E92" s="1"/>
      <c r="F92" s="1"/>
      <c r="G92" s="1"/>
      <c r="H92" s="1"/>
      <c r="I92" s="1"/>
      <c r="J92" s="1"/>
      <c r="K92" s="1"/>
      <c r="L92" s="1"/>
    </row>
    <row r="93" spans="1:12" x14ac:dyDescent="0.3">
      <c r="A93" s="1"/>
      <c r="B93" s="1"/>
      <c r="C93" s="1"/>
      <c r="D93" s="1"/>
      <c r="E93" s="1"/>
      <c r="F93" s="1"/>
      <c r="G93" s="1"/>
      <c r="H93" s="1"/>
      <c r="I93" s="1"/>
      <c r="J93" s="1"/>
      <c r="K93" s="1"/>
      <c r="L93" s="1"/>
    </row>
    <row r="94" spans="1:12" x14ac:dyDescent="0.3">
      <c r="A94" s="1"/>
      <c r="B94" s="1"/>
      <c r="C94" s="1"/>
      <c r="D94" s="1"/>
      <c r="E94" s="1"/>
      <c r="F94" s="1"/>
      <c r="G94" s="1"/>
      <c r="H94" s="1"/>
      <c r="I94" s="1"/>
      <c r="J94" s="1"/>
      <c r="K94" s="1"/>
      <c r="L94" s="1"/>
    </row>
    <row r="95" spans="1:12" x14ac:dyDescent="0.3">
      <c r="A95" s="1"/>
      <c r="B95" s="1"/>
      <c r="C95" s="1"/>
      <c r="D95" s="1"/>
      <c r="E95" s="1"/>
      <c r="F95" s="1"/>
      <c r="G95" s="1"/>
      <c r="H95" s="1"/>
      <c r="I95" s="1"/>
      <c r="J95" s="1"/>
      <c r="K95" s="1"/>
      <c r="L95" s="1"/>
    </row>
    <row r="96" spans="1:12" x14ac:dyDescent="0.3">
      <c r="A96" s="1"/>
      <c r="B96" s="1"/>
      <c r="C96" s="1"/>
      <c r="D96" s="1"/>
      <c r="E96" s="1"/>
      <c r="F96" s="1"/>
      <c r="G96" s="1"/>
      <c r="H96" s="1"/>
      <c r="I96" s="1"/>
      <c r="J96" s="1"/>
      <c r="K96" s="1"/>
      <c r="L96" s="1"/>
    </row>
    <row r="97" spans="1:12" x14ac:dyDescent="0.3">
      <c r="A97" s="1"/>
      <c r="B97" s="1"/>
      <c r="C97" s="1"/>
      <c r="D97" s="1"/>
      <c r="E97" s="1"/>
      <c r="F97" s="1"/>
      <c r="G97" s="1"/>
      <c r="H97" s="1"/>
      <c r="I97" s="1"/>
      <c r="J97" s="1"/>
      <c r="K97" s="1"/>
      <c r="L97" s="1"/>
    </row>
    <row r="98" spans="1:12" x14ac:dyDescent="0.3">
      <c r="A98" s="1"/>
      <c r="B98" s="1"/>
      <c r="C98" s="1"/>
      <c r="D98" s="1"/>
      <c r="E98" s="1"/>
      <c r="F98" s="1"/>
      <c r="G98" s="1"/>
      <c r="H98" s="1"/>
      <c r="I98" s="1"/>
      <c r="J98" s="1"/>
      <c r="K98" s="1"/>
      <c r="L98" s="1"/>
    </row>
    <row r="99" spans="1:12" x14ac:dyDescent="0.3">
      <c r="A99" s="1"/>
      <c r="B99" s="1"/>
      <c r="C99" s="1"/>
      <c r="D99" s="1"/>
      <c r="E99" s="1"/>
      <c r="F99" s="1"/>
      <c r="G99" s="1"/>
      <c r="H99" s="1"/>
      <c r="I99" s="1"/>
      <c r="J99" s="1"/>
      <c r="K99" s="1"/>
      <c r="L99" s="1"/>
    </row>
    <row r="100" spans="1:12" x14ac:dyDescent="0.3">
      <c r="A100" s="1"/>
      <c r="B100" s="1"/>
      <c r="C100" s="1"/>
      <c r="D100" s="1"/>
      <c r="E100" s="1"/>
      <c r="F100" s="1"/>
      <c r="G100" s="1"/>
      <c r="H100" s="1"/>
      <c r="I100" s="1"/>
      <c r="J100" s="1"/>
      <c r="K100" s="1"/>
      <c r="L100" s="1"/>
    </row>
    <row r="101" spans="1:12" x14ac:dyDescent="0.3">
      <c r="A101" s="1"/>
      <c r="B101" s="1"/>
      <c r="C101" s="1"/>
      <c r="D101" s="1"/>
      <c r="E101" s="1"/>
      <c r="F101" s="1"/>
      <c r="G101" s="1"/>
      <c r="H101" s="1"/>
      <c r="I101" s="1"/>
      <c r="J101" s="1"/>
      <c r="K101" s="1"/>
      <c r="L101" s="1"/>
    </row>
    <row r="102" spans="1:12" x14ac:dyDescent="0.3">
      <c r="A102" s="1"/>
      <c r="B102" s="1"/>
      <c r="C102" s="1"/>
      <c r="D102" s="1"/>
      <c r="E102" s="1"/>
      <c r="F102" s="1"/>
      <c r="G102" s="1"/>
      <c r="H102" s="1"/>
      <c r="I102" s="1"/>
      <c r="J102" s="1"/>
      <c r="K102" s="1"/>
      <c r="L102" s="1"/>
    </row>
    <row r="103" spans="1:12" x14ac:dyDescent="0.3">
      <c r="A103" s="1"/>
      <c r="B103" s="1"/>
      <c r="C103" s="1"/>
      <c r="D103" s="1"/>
      <c r="E103" s="1"/>
      <c r="F103" s="1"/>
      <c r="G103" s="1"/>
      <c r="H103" s="1"/>
      <c r="I103" s="1"/>
      <c r="J103" s="1"/>
      <c r="K103" s="1"/>
      <c r="L103" s="1"/>
    </row>
    <row r="104" spans="1:12" x14ac:dyDescent="0.3">
      <c r="A104" s="1"/>
      <c r="B104" s="1"/>
      <c r="C104" s="1"/>
      <c r="D104" s="1"/>
      <c r="E104" s="1"/>
      <c r="F104" s="1"/>
      <c r="G104" s="1"/>
      <c r="H104" s="1"/>
      <c r="I104" s="1"/>
      <c r="J104" s="1"/>
      <c r="K104" s="1"/>
      <c r="L104" s="1"/>
    </row>
    <row r="105" spans="1:12" x14ac:dyDescent="0.3">
      <c r="A105" s="1"/>
      <c r="B105" s="1"/>
      <c r="C105" s="1"/>
      <c r="D105" s="1"/>
      <c r="E105" s="1"/>
      <c r="F105" s="1"/>
      <c r="G105" s="1"/>
      <c r="H105" s="1"/>
      <c r="I105" s="1"/>
      <c r="J105" s="1"/>
      <c r="K105" s="1"/>
      <c r="L105" s="1"/>
    </row>
    <row r="106" spans="1:12" x14ac:dyDescent="0.3">
      <c r="A106" s="1"/>
      <c r="B106" s="1"/>
      <c r="C106" s="1"/>
      <c r="D106" s="1"/>
      <c r="E106" s="1"/>
      <c r="F106" s="1"/>
      <c r="G106" s="1"/>
      <c r="H106" s="1"/>
      <c r="I106" s="1"/>
      <c r="J106" s="1"/>
      <c r="K106" s="1"/>
      <c r="L106" s="1"/>
    </row>
    <row r="107" spans="1:12" x14ac:dyDescent="0.3">
      <c r="A107" s="1"/>
      <c r="B107" s="1"/>
      <c r="C107" s="1"/>
      <c r="D107" s="1"/>
      <c r="E107" s="1"/>
      <c r="F107" s="1"/>
      <c r="G107" s="1"/>
      <c r="H107" s="1"/>
      <c r="I107" s="1"/>
      <c r="J107" s="1"/>
      <c r="K107" s="1"/>
      <c r="L107" s="1"/>
    </row>
    <row r="108" spans="1:12" x14ac:dyDescent="0.3">
      <c r="A108" s="1"/>
      <c r="B108" s="1"/>
      <c r="C108" s="1"/>
      <c r="D108" s="1"/>
      <c r="E108" s="1"/>
      <c r="F108" s="1"/>
      <c r="G108" s="1"/>
      <c r="H108" s="1"/>
      <c r="I108" s="1"/>
      <c r="J108" s="1"/>
      <c r="K108" s="1"/>
      <c r="L108" s="1"/>
    </row>
    <row r="109" spans="1:12" x14ac:dyDescent="0.3">
      <c r="A109" s="1"/>
      <c r="B109" s="1"/>
      <c r="C109" s="1"/>
      <c r="D109" s="1"/>
      <c r="E109" s="1"/>
      <c r="F109" s="1"/>
      <c r="G109" s="1"/>
      <c r="H109" s="1"/>
      <c r="I109" s="1"/>
      <c r="J109" s="1"/>
      <c r="K109" s="1"/>
      <c r="L109" s="1"/>
    </row>
    <row r="110" spans="1:12" x14ac:dyDescent="0.3">
      <c r="A110" s="1"/>
      <c r="B110" s="1"/>
      <c r="C110" s="1"/>
      <c r="D110" s="1"/>
      <c r="E110" s="1"/>
      <c r="F110" s="1"/>
      <c r="G110" s="1"/>
      <c r="H110" s="1"/>
      <c r="I110" s="1"/>
      <c r="J110" s="1"/>
      <c r="K110" s="1"/>
      <c r="L110" s="1"/>
    </row>
    <row r="111" spans="1:12" x14ac:dyDescent="0.3">
      <c r="A111" s="1"/>
      <c r="B111" s="1"/>
      <c r="C111" s="1"/>
      <c r="D111" s="1"/>
      <c r="E111" s="1"/>
      <c r="F111" s="1"/>
      <c r="G111" s="1"/>
      <c r="H111" s="1"/>
      <c r="I111" s="1"/>
      <c r="J111" s="1"/>
      <c r="K111" s="1"/>
      <c r="L111" s="1"/>
    </row>
    <row r="112" spans="1:12" x14ac:dyDescent="0.3">
      <c r="A112" s="1"/>
      <c r="B112" s="1"/>
      <c r="C112" s="1"/>
      <c r="D112" s="1"/>
      <c r="E112" s="1"/>
      <c r="F112" s="1"/>
      <c r="G112" s="1"/>
      <c r="H112" s="1"/>
      <c r="I112" s="1"/>
      <c r="J112" s="1"/>
      <c r="K112" s="1"/>
      <c r="L112" s="1"/>
    </row>
    <row r="113" spans="1:12" x14ac:dyDescent="0.3">
      <c r="A113" s="1"/>
      <c r="B113" s="1"/>
      <c r="C113" s="1"/>
      <c r="D113" s="1"/>
      <c r="E113" s="1"/>
      <c r="F113" s="1"/>
      <c r="G113" s="1"/>
      <c r="H113" s="1"/>
      <c r="I113" s="1"/>
      <c r="J113" s="1"/>
      <c r="K113" s="1"/>
      <c r="L113" s="1"/>
    </row>
    <row r="114" spans="1:12" x14ac:dyDescent="0.3">
      <c r="A114" s="1"/>
      <c r="B114" s="1"/>
      <c r="C114" s="1"/>
      <c r="D114" s="1"/>
      <c r="E114" s="1"/>
      <c r="F114" s="1"/>
      <c r="G114" s="1"/>
      <c r="H114" s="1"/>
      <c r="I114" s="1"/>
      <c r="J114" s="1"/>
      <c r="K114" s="1"/>
      <c r="L114" s="1"/>
    </row>
    <row r="115" spans="1:12" x14ac:dyDescent="0.3">
      <c r="A115" s="1"/>
      <c r="B115" s="1"/>
      <c r="C115" s="1"/>
      <c r="D115" s="1"/>
      <c r="E115" s="1"/>
      <c r="F115" s="1"/>
      <c r="G115" s="1"/>
      <c r="H115" s="1"/>
      <c r="I115" s="1"/>
      <c r="J115" s="1"/>
      <c r="K115" s="1"/>
      <c r="L115" s="1"/>
    </row>
    <row r="116" spans="1:12" x14ac:dyDescent="0.3">
      <c r="A116" s="1"/>
      <c r="B116" s="1"/>
      <c r="C116" s="1"/>
      <c r="D116" s="1"/>
      <c r="E116" s="1"/>
      <c r="F116" s="1"/>
      <c r="G116" s="1"/>
      <c r="H116" s="1"/>
      <c r="I116" s="1"/>
      <c r="J116" s="1"/>
      <c r="K116" s="1"/>
      <c r="L116" s="1"/>
    </row>
    <row r="117" spans="1:12" x14ac:dyDescent="0.3">
      <c r="A117" s="1"/>
      <c r="B117" s="1"/>
      <c r="C117" s="1"/>
      <c r="D117" s="1"/>
      <c r="E117" s="1"/>
      <c r="F117" s="1"/>
      <c r="G117" s="1"/>
      <c r="H117" s="1"/>
      <c r="I117" s="1"/>
      <c r="J117" s="1"/>
      <c r="K117" s="1"/>
      <c r="L117" s="1"/>
    </row>
    <row r="118" spans="1:12" x14ac:dyDescent="0.3">
      <c r="A118" s="1"/>
      <c r="B118" s="1"/>
      <c r="C118" s="1"/>
      <c r="D118" s="1"/>
      <c r="E118" s="1"/>
      <c r="F118" s="1"/>
      <c r="G118" s="1"/>
      <c r="H118" s="1"/>
      <c r="I118" s="1"/>
      <c r="J118" s="1"/>
      <c r="K118" s="1"/>
      <c r="L118" s="1"/>
    </row>
    <row r="119" spans="1:12" x14ac:dyDescent="0.3">
      <c r="A119" s="1"/>
      <c r="B119" s="1"/>
      <c r="C119" s="1"/>
      <c r="D119" s="1"/>
      <c r="E119" s="1"/>
      <c r="F119" s="1"/>
      <c r="G119" s="1"/>
      <c r="H119" s="1"/>
      <c r="I119" s="1"/>
      <c r="J119" s="1"/>
      <c r="K119" s="1"/>
      <c r="L119" s="1"/>
    </row>
    <row r="120" spans="1:12" x14ac:dyDescent="0.3">
      <c r="A120" s="1"/>
      <c r="B120" s="1"/>
      <c r="C120" s="1"/>
      <c r="D120" s="1"/>
      <c r="E120" s="1"/>
      <c r="F120" s="1"/>
      <c r="G120" s="1"/>
      <c r="H120" s="1"/>
      <c r="I120" s="1"/>
      <c r="J120" s="1"/>
      <c r="K120" s="1"/>
      <c r="L120" s="1"/>
    </row>
    <row r="121" spans="1:12" x14ac:dyDescent="0.3">
      <c r="A121" s="1"/>
      <c r="B121" s="1"/>
      <c r="C121" s="1"/>
      <c r="D121" s="1"/>
      <c r="E121" s="1"/>
      <c r="F121" s="1"/>
      <c r="G121" s="1"/>
      <c r="H121" s="1"/>
      <c r="I121" s="1"/>
      <c r="J121" s="1"/>
      <c r="K121" s="1"/>
      <c r="L121" s="1"/>
    </row>
    <row r="122" spans="1:12" x14ac:dyDescent="0.3">
      <c r="A122" s="1"/>
      <c r="B122" s="1"/>
      <c r="C122" s="1"/>
      <c r="D122" s="1"/>
      <c r="E122" s="1"/>
      <c r="F122" s="1"/>
      <c r="G122" s="1"/>
      <c r="H122" s="1"/>
      <c r="I122" s="1"/>
      <c r="J122" s="1"/>
      <c r="K122" s="1"/>
      <c r="L122" s="1"/>
    </row>
    <row r="123" spans="1:12" x14ac:dyDescent="0.3">
      <c r="A123" s="1"/>
      <c r="B123" s="1"/>
      <c r="C123" s="1"/>
      <c r="D123" s="1"/>
      <c r="E123" s="1"/>
      <c r="F123" s="1"/>
      <c r="G123" s="1"/>
      <c r="H123" s="1"/>
      <c r="I123" s="1"/>
      <c r="J123" s="1"/>
      <c r="K123" s="1"/>
      <c r="L123" s="1"/>
    </row>
    <row r="124" spans="1:12" x14ac:dyDescent="0.3">
      <c r="A124" s="1"/>
      <c r="B124" s="1"/>
      <c r="C124" s="1"/>
      <c r="D124" s="1"/>
      <c r="E124" s="1"/>
      <c r="F124" s="1"/>
      <c r="G124" s="1"/>
      <c r="H124" s="1"/>
      <c r="I124" s="1"/>
      <c r="J124" s="1"/>
      <c r="K124" s="1"/>
      <c r="L124" s="1"/>
    </row>
    <row r="125" spans="1:12" x14ac:dyDescent="0.3">
      <c r="A125" s="1"/>
      <c r="B125" s="1"/>
      <c r="C125" s="1"/>
      <c r="D125" s="1"/>
      <c r="E125" s="1"/>
      <c r="F125" s="1"/>
      <c r="G125" s="1"/>
      <c r="H125" s="1"/>
      <c r="I125" s="1"/>
      <c r="J125" s="1"/>
      <c r="K125" s="1"/>
      <c r="L125" s="1"/>
    </row>
    <row r="126" spans="1:12" x14ac:dyDescent="0.3">
      <c r="A126" s="1"/>
      <c r="B126" s="1"/>
      <c r="C126" s="1"/>
      <c r="D126" s="1"/>
      <c r="E126" s="1"/>
      <c r="F126" s="1"/>
      <c r="G126" s="1"/>
      <c r="H126" s="1"/>
      <c r="I126" s="1"/>
      <c r="J126" s="1"/>
      <c r="K126" s="1"/>
      <c r="L126" s="1"/>
    </row>
    <row r="127" spans="1:12" x14ac:dyDescent="0.3">
      <c r="A127" s="1"/>
      <c r="B127" s="1"/>
      <c r="C127" s="1"/>
      <c r="D127" s="1"/>
      <c r="E127" s="1"/>
      <c r="F127" s="1"/>
      <c r="G127" s="1"/>
      <c r="H127" s="1"/>
      <c r="I127" s="1"/>
      <c r="J127" s="1"/>
      <c r="K127" s="1"/>
      <c r="L127" s="1"/>
    </row>
    <row r="128" spans="1:12" x14ac:dyDescent="0.3">
      <c r="A128" s="1"/>
      <c r="B128" s="1"/>
      <c r="C128" s="1"/>
      <c r="D128" s="1"/>
      <c r="E128" s="1"/>
      <c r="F128" s="1"/>
      <c r="G128" s="1"/>
      <c r="H128" s="1"/>
      <c r="I128" s="1"/>
      <c r="J128" s="1"/>
      <c r="K128" s="1"/>
      <c r="L128" s="1"/>
    </row>
    <row r="129" spans="1:12" x14ac:dyDescent="0.3">
      <c r="A129" s="1"/>
      <c r="B129" s="1"/>
      <c r="C129" s="1"/>
      <c r="D129" s="1"/>
      <c r="E129" s="1"/>
      <c r="F129" s="1"/>
      <c r="G129" s="1"/>
      <c r="H129" s="1"/>
      <c r="I129" s="1"/>
      <c r="J129" s="1"/>
      <c r="K129" s="1"/>
      <c r="L129" s="1"/>
    </row>
    <row r="130" spans="1:12" x14ac:dyDescent="0.3">
      <c r="A130" s="1"/>
      <c r="B130" s="1"/>
      <c r="C130" s="1"/>
      <c r="D130" s="1"/>
      <c r="E130" s="1"/>
      <c r="F130" s="1"/>
      <c r="G130" s="1"/>
      <c r="H130" s="1"/>
      <c r="I130" s="1"/>
      <c r="J130" s="1"/>
      <c r="K130" s="1"/>
      <c r="L130" s="1"/>
    </row>
    <row r="131" spans="1:12" x14ac:dyDescent="0.3">
      <c r="A131" s="1"/>
      <c r="B131" s="1"/>
      <c r="C131" s="1"/>
      <c r="D131" s="1"/>
      <c r="E131" s="1"/>
      <c r="F131" s="1"/>
      <c r="G131" s="1"/>
      <c r="H131" s="1"/>
      <c r="I131" s="1"/>
      <c r="J131" s="1"/>
      <c r="K131" s="1"/>
      <c r="L131" s="1"/>
    </row>
    <row r="132" spans="1:12" x14ac:dyDescent="0.3">
      <c r="A132" s="1"/>
      <c r="B132" s="1"/>
      <c r="C132" s="1"/>
      <c r="D132" s="1"/>
      <c r="E132" s="1"/>
      <c r="F132" s="1"/>
      <c r="G132" s="1"/>
      <c r="H132" s="1"/>
      <c r="I132" s="1"/>
      <c r="J132" s="1"/>
      <c r="K132" s="1"/>
      <c r="L132" s="1"/>
    </row>
    <row r="133" spans="1:12" x14ac:dyDescent="0.3">
      <c r="A133" s="1"/>
      <c r="B133" s="1"/>
      <c r="C133" s="1"/>
      <c r="D133" s="1"/>
      <c r="E133" s="1"/>
      <c r="F133" s="1"/>
      <c r="G133" s="1"/>
      <c r="H133" s="1"/>
      <c r="I133" s="1"/>
      <c r="J133" s="1"/>
      <c r="K133" s="1"/>
      <c r="L133" s="1"/>
    </row>
    <row r="134" spans="1:12" x14ac:dyDescent="0.3">
      <c r="A134" s="1"/>
      <c r="B134" s="1"/>
      <c r="C134" s="1"/>
      <c r="D134" s="1"/>
      <c r="E134" s="1"/>
      <c r="F134" s="1"/>
      <c r="G134" s="1"/>
      <c r="H134" s="1"/>
      <c r="I134" s="1"/>
      <c r="J134" s="1"/>
      <c r="K134" s="1"/>
      <c r="L134" s="1"/>
    </row>
    <row r="135" spans="1:12" x14ac:dyDescent="0.3">
      <c r="A135" s="1"/>
      <c r="B135" s="1"/>
      <c r="C135" s="1"/>
      <c r="D135" s="1"/>
      <c r="E135" s="1"/>
      <c r="F135" s="1"/>
      <c r="G135" s="1"/>
      <c r="H135" s="1"/>
      <c r="I135" s="1"/>
      <c r="J135" s="1"/>
      <c r="K135" s="1"/>
      <c r="L135" s="1"/>
    </row>
    <row r="136" spans="1:12" x14ac:dyDescent="0.3">
      <c r="A136" s="1"/>
      <c r="B136" s="1"/>
      <c r="C136" s="1"/>
      <c r="D136" s="1"/>
      <c r="E136" s="1"/>
      <c r="F136" s="1"/>
      <c r="G136" s="1"/>
      <c r="H136" s="1"/>
      <c r="I136" s="1"/>
      <c r="J136" s="1"/>
      <c r="K136" s="1"/>
      <c r="L136" s="1"/>
    </row>
    <row r="137" spans="1:12" x14ac:dyDescent="0.3">
      <c r="A137" s="1"/>
      <c r="B137" s="1"/>
      <c r="C137" s="1"/>
      <c r="D137" s="1"/>
      <c r="E137" s="1"/>
      <c r="F137" s="1"/>
      <c r="G137" s="1"/>
      <c r="H137" s="1"/>
      <c r="I137" s="1"/>
      <c r="J137" s="1"/>
      <c r="K137" s="1"/>
      <c r="L137" s="1"/>
    </row>
    <row r="138" spans="1:12" x14ac:dyDescent="0.3">
      <c r="A138" s="1"/>
      <c r="B138" s="1"/>
      <c r="C138" s="1"/>
      <c r="D138" s="1"/>
      <c r="E138" s="1"/>
      <c r="F138" s="1"/>
      <c r="G138" s="1"/>
      <c r="H138" s="1"/>
      <c r="I138" s="1"/>
      <c r="J138" s="1"/>
      <c r="K138" s="1"/>
      <c r="L138" s="1"/>
    </row>
    <row r="139" spans="1:12" x14ac:dyDescent="0.3">
      <c r="A139" s="1"/>
      <c r="B139" s="1"/>
      <c r="C139" s="1"/>
      <c r="D139" s="1"/>
      <c r="E139" s="1"/>
      <c r="F139" s="1"/>
      <c r="G139" s="1"/>
      <c r="H139" s="1"/>
      <c r="I139" s="1"/>
      <c r="J139" s="1"/>
      <c r="K139" s="1"/>
      <c r="L139" s="1"/>
    </row>
    <row r="140" spans="1:12" x14ac:dyDescent="0.3">
      <c r="A140" s="1"/>
      <c r="B140" s="1"/>
      <c r="C140" s="1"/>
      <c r="D140" s="1"/>
      <c r="E140" s="1"/>
      <c r="F140" s="1"/>
      <c r="G140" s="1"/>
      <c r="H140" s="1"/>
      <c r="I140" s="1"/>
      <c r="J140" s="1"/>
      <c r="K140" s="1"/>
      <c r="L140" s="1"/>
    </row>
    <row r="141" spans="1:12" x14ac:dyDescent="0.3">
      <c r="A141" s="1"/>
      <c r="B141" s="1"/>
      <c r="C141" s="1"/>
      <c r="D141" s="1"/>
      <c r="E141" s="1"/>
      <c r="F141" s="1"/>
      <c r="G141" s="1"/>
      <c r="H141" s="1"/>
      <c r="I141" s="1"/>
      <c r="J141" s="1"/>
      <c r="K141" s="1"/>
      <c r="L141" s="1"/>
    </row>
    <row r="142" spans="1:12" x14ac:dyDescent="0.3">
      <c r="A142" s="1"/>
      <c r="B142" s="1"/>
      <c r="C142" s="1"/>
      <c r="D142" s="1"/>
      <c r="E142" s="1"/>
      <c r="F142" s="1"/>
      <c r="G142" s="1"/>
      <c r="H142" s="1"/>
      <c r="I142" s="1"/>
      <c r="J142" s="1"/>
      <c r="K142" s="1"/>
      <c r="L142" s="1"/>
    </row>
    <row r="143" spans="1:12" x14ac:dyDescent="0.3">
      <c r="A143" s="1"/>
      <c r="B143" s="1"/>
      <c r="C143" s="1"/>
      <c r="D143" s="1"/>
      <c r="E143" s="1"/>
      <c r="F143" s="1"/>
      <c r="G143" s="1"/>
      <c r="H143" s="1"/>
      <c r="I143" s="1"/>
      <c r="J143" s="1"/>
      <c r="K143" s="1"/>
      <c r="L143" s="1"/>
    </row>
    <row r="144" spans="1:12" x14ac:dyDescent="0.3">
      <c r="A144" s="1"/>
      <c r="B144" s="1"/>
      <c r="C144" s="1"/>
      <c r="D144" s="1"/>
      <c r="E144" s="1"/>
      <c r="F144" s="1"/>
      <c r="G144" s="1"/>
      <c r="H144" s="1"/>
      <c r="I144" s="1"/>
      <c r="J144" s="1"/>
      <c r="K144" s="1"/>
      <c r="L144" s="1"/>
    </row>
    <row r="145" spans="1:12" x14ac:dyDescent="0.3">
      <c r="A145" s="1"/>
      <c r="B145" s="1"/>
      <c r="C145" s="1"/>
      <c r="D145" s="1"/>
      <c r="E145" s="1"/>
      <c r="F145" s="1"/>
      <c r="G145" s="1"/>
      <c r="H145" s="1"/>
      <c r="I145" s="1"/>
      <c r="J145" s="1"/>
      <c r="K145" s="1"/>
      <c r="L145" s="1"/>
    </row>
    <row r="146" spans="1:12" x14ac:dyDescent="0.3">
      <c r="A146" s="1"/>
      <c r="B146" s="1"/>
      <c r="C146" s="1"/>
      <c r="D146" s="1"/>
      <c r="E146" s="1"/>
      <c r="F146" s="1"/>
      <c r="G146" s="1"/>
      <c r="H146" s="1"/>
      <c r="I146" s="1"/>
      <c r="J146" s="1"/>
      <c r="K146" s="1"/>
      <c r="L146" s="1"/>
    </row>
    <row r="147" spans="1:12" x14ac:dyDescent="0.3">
      <c r="A147" s="1"/>
      <c r="B147" s="1"/>
      <c r="C147" s="1"/>
      <c r="D147" s="1"/>
      <c r="E147" s="1"/>
      <c r="F147" s="1"/>
      <c r="G147" s="1"/>
      <c r="H147" s="1"/>
      <c r="I147" s="1"/>
      <c r="J147" s="1"/>
      <c r="K147" s="1"/>
      <c r="L147" s="1"/>
    </row>
    <row r="148" spans="1:12" x14ac:dyDescent="0.3">
      <c r="A148" s="1"/>
      <c r="B148" s="1"/>
      <c r="C148" s="1"/>
      <c r="D148" s="1"/>
      <c r="E148" s="1"/>
      <c r="F148" s="1"/>
      <c r="G148" s="1"/>
      <c r="H148" s="1"/>
      <c r="I148" s="1"/>
      <c r="J148" s="1"/>
      <c r="K148" s="1"/>
      <c r="L148" s="1"/>
    </row>
    <row r="149" spans="1:12" x14ac:dyDescent="0.3">
      <c r="A149" s="1"/>
      <c r="B149" s="1"/>
      <c r="C149" s="1"/>
      <c r="D149" s="1"/>
      <c r="E149" s="1"/>
      <c r="F149" s="1"/>
      <c r="G149" s="1"/>
      <c r="H149" s="1"/>
      <c r="I149" s="1"/>
      <c r="J149" s="1"/>
      <c r="K149" s="1"/>
      <c r="L149" s="1"/>
    </row>
    <row r="150" spans="1:12" x14ac:dyDescent="0.3">
      <c r="A150" s="1"/>
      <c r="B150" s="1"/>
      <c r="C150" s="1"/>
      <c r="D150" s="1"/>
      <c r="E150" s="1"/>
      <c r="F150" s="1"/>
      <c r="G150" s="1"/>
      <c r="H150" s="1"/>
      <c r="I150" s="1"/>
      <c r="J150" s="1"/>
      <c r="K150" s="1"/>
      <c r="L150" s="1"/>
    </row>
    <row r="151" spans="1:12" x14ac:dyDescent="0.3">
      <c r="A151" s="1"/>
      <c r="B151" s="1"/>
      <c r="C151" s="1"/>
      <c r="D151" s="1"/>
      <c r="E151" s="1"/>
      <c r="F151" s="1"/>
      <c r="G151" s="1"/>
      <c r="H151" s="1"/>
      <c r="I151" s="1"/>
      <c r="J151" s="1"/>
      <c r="K151" s="1"/>
      <c r="L151" s="1"/>
    </row>
    <row r="152" spans="1:12" x14ac:dyDescent="0.3">
      <c r="A152" s="1"/>
      <c r="B152" s="1"/>
      <c r="C152" s="1"/>
      <c r="D152" s="1"/>
      <c r="E152" s="1"/>
      <c r="F152" s="1"/>
      <c r="G152" s="1"/>
      <c r="H152" s="1"/>
      <c r="I152" s="1"/>
      <c r="J152" s="1"/>
      <c r="K152" s="1"/>
      <c r="L152" s="1"/>
    </row>
    <row r="153" spans="1:12" x14ac:dyDescent="0.3">
      <c r="A153" s="1"/>
      <c r="B153" s="1"/>
      <c r="C153" s="1"/>
      <c r="D153" s="1"/>
      <c r="E153" s="1"/>
      <c r="F153" s="1"/>
      <c r="G153" s="1"/>
      <c r="H153" s="1"/>
      <c r="I153" s="1"/>
      <c r="J153" s="1"/>
      <c r="K153" s="1"/>
      <c r="L153" s="1"/>
    </row>
    <row r="154" spans="1:12" x14ac:dyDescent="0.3">
      <c r="A154" s="1"/>
      <c r="B154" s="1"/>
      <c r="C154" s="1"/>
      <c r="D154" s="1"/>
      <c r="E154" s="1"/>
      <c r="F154" s="1"/>
      <c r="G154" s="1"/>
      <c r="H154" s="1"/>
      <c r="I154" s="1"/>
      <c r="J154" s="1"/>
      <c r="K154" s="1"/>
      <c r="L154" s="1"/>
    </row>
    <row r="155" spans="1:12" x14ac:dyDescent="0.3">
      <c r="A155" s="1"/>
      <c r="B155" s="1"/>
      <c r="C155" s="1"/>
      <c r="D155" s="1"/>
      <c r="E155" s="1"/>
      <c r="F155" s="1"/>
      <c r="G155" s="1"/>
      <c r="H155" s="1"/>
      <c r="I155" s="1"/>
      <c r="J155" s="1"/>
      <c r="K155" s="1"/>
      <c r="L155" s="1"/>
    </row>
    <row r="156" spans="1:12" x14ac:dyDescent="0.3">
      <c r="A156" s="1"/>
      <c r="B156" s="1"/>
      <c r="C156" s="1"/>
      <c r="D156" s="1"/>
      <c r="E156" s="1"/>
      <c r="F156" s="1"/>
      <c r="G156" s="1"/>
      <c r="H156" s="1"/>
      <c r="I156" s="1"/>
      <c r="J156" s="1"/>
      <c r="K156" s="1"/>
      <c r="L156" s="1"/>
    </row>
    <row r="157" spans="1:12" x14ac:dyDescent="0.3">
      <c r="A157" s="1"/>
      <c r="B157" s="1"/>
      <c r="C157" s="1"/>
      <c r="D157" s="1"/>
      <c r="E157" s="1"/>
      <c r="F157" s="1"/>
      <c r="G157" s="1"/>
      <c r="H157" s="1"/>
      <c r="I157" s="1"/>
      <c r="J157" s="1"/>
      <c r="K157" s="1"/>
      <c r="L157" s="1"/>
    </row>
    <row r="158" spans="1:12" x14ac:dyDescent="0.3">
      <c r="A158" s="1"/>
      <c r="B158" s="1"/>
      <c r="C158" s="1"/>
      <c r="D158" s="1"/>
      <c r="E158" s="1"/>
      <c r="F158" s="1"/>
      <c r="G158" s="1"/>
      <c r="H158" s="1"/>
      <c r="I158" s="1"/>
      <c r="J158" s="1"/>
      <c r="K158" s="1"/>
      <c r="L158" s="1"/>
    </row>
    <row r="159" spans="1:12" x14ac:dyDescent="0.3">
      <c r="A159" s="1"/>
      <c r="B159" s="1"/>
      <c r="C159" s="1"/>
      <c r="D159" s="1"/>
      <c r="E159" s="1"/>
      <c r="F159" s="1"/>
      <c r="G159" s="1"/>
      <c r="H159" s="1"/>
      <c r="I159" s="1"/>
      <c r="J159" s="1"/>
      <c r="K159" s="1"/>
      <c r="L159" s="1"/>
    </row>
    <row r="160" spans="1:12" x14ac:dyDescent="0.3">
      <c r="A160" s="1"/>
      <c r="B160" s="1"/>
      <c r="C160" s="1"/>
      <c r="D160" s="1"/>
      <c r="E160" s="1"/>
      <c r="F160" s="1"/>
      <c r="G160" s="1"/>
      <c r="H160" s="1"/>
      <c r="I160" s="1"/>
      <c r="J160" s="1"/>
      <c r="K160" s="1"/>
      <c r="L160" s="1"/>
    </row>
    <row r="161" spans="1:12" x14ac:dyDescent="0.3">
      <c r="A161" s="1"/>
      <c r="B161" s="1"/>
      <c r="C161" s="1"/>
      <c r="D161" s="1"/>
      <c r="E161" s="1"/>
      <c r="F161" s="1"/>
      <c r="G161" s="1"/>
      <c r="H161" s="1"/>
      <c r="I161" s="1"/>
      <c r="J161" s="1"/>
      <c r="K161" s="1"/>
      <c r="L161" s="1"/>
    </row>
    <row r="162" spans="1:12" x14ac:dyDescent="0.3">
      <c r="A162" s="1"/>
      <c r="B162" s="1"/>
      <c r="C162" s="1"/>
      <c r="D162" s="1"/>
      <c r="E162" s="1"/>
      <c r="F162" s="1"/>
      <c r="G162" s="1"/>
      <c r="H162" s="1"/>
      <c r="I162" s="1"/>
      <c r="J162" s="1"/>
      <c r="K162" s="1"/>
      <c r="L162" s="1"/>
    </row>
    <row r="163" spans="1:12" x14ac:dyDescent="0.3">
      <c r="A163" s="1"/>
      <c r="B163" s="1"/>
      <c r="C163" s="1"/>
      <c r="D163" s="1"/>
      <c r="E163" s="1"/>
      <c r="F163" s="1"/>
      <c r="G163" s="1"/>
      <c r="H163" s="1"/>
      <c r="I163" s="1"/>
      <c r="J163" s="1"/>
      <c r="K163" s="1"/>
      <c r="L163" s="1"/>
    </row>
    <row r="164" spans="1:12" x14ac:dyDescent="0.3">
      <c r="A164" s="1"/>
      <c r="B164" s="1"/>
      <c r="C164" s="1"/>
      <c r="D164" s="1"/>
      <c r="E164" s="1"/>
      <c r="F164" s="1"/>
      <c r="G164" s="1"/>
      <c r="H164" s="1"/>
      <c r="I164" s="1"/>
      <c r="J164" s="1"/>
      <c r="K164" s="1"/>
      <c r="L164" s="1"/>
    </row>
    <row r="165" spans="1:12" x14ac:dyDescent="0.3">
      <c r="A165" s="1"/>
      <c r="B165" s="1"/>
      <c r="C165" s="1"/>
      <c r="D165" s="1"/>
      <c r="E165" s="1"/>
      <c r="F165" s="1"/>
      <c r="G165" s="1"/>
      <c r="H165" s="1"/>
      <c r="I165" s="1"/>
      <c r="J165" s="1"/>
      <c r="K165" s="1"/>
      <c r="L165" s="1"/>
    </row>
    <row r="166" spans="1:12" x14ac:dyDescent="0.3">
      <c r="A166" s="1"/>
      <c r="B166" s="1"/>
      <c r="C166" s="1"/>
      <c r="D166" s="1"/>
      <c r="E166" s="1"/>
      <c r="F166" s="1"/>
      <c r="G166" s="1"/>
      <c r="H166" s="1"/>
      <c r="I166" s="1"/>
      <c r="J166" s="1"/>
      <c r="K166" s="1"/>
      <c r="L166" s="1"/>
    </row>
    <row r="167" spans="1:12" x14ac:dyDescent="0.3">
      <c r="A167" s="1"/>
      <c r="B167" s="1"/>
      <c r="C167" s="1"/>
      <c r="D167" s="1"/>
      <c r="E167" s="1"/>
      <c r="F167" s="1"/>
      <c r="G167" s="1"/>
      <c r="H167" s="1"/>
      <c r="I167" s="1"/>
      <c r="J167" s="1"/>
      <c r="K167" s="1"/>
      <c r="L167" s="1"/>
    </row>
    <row r="168" spans="1:12" x14ac:dyDescent="0.3">
      <c r="A168" s="1"/>
      <c r="B168" s="1"/>
      <c r="C168" s="1"/>
      <c r="D168" s="1"/>
      <c r="E168" s="1"/>
      <c r="F168" s="1"/>
      <c r="G168" s="1"/>
      <c r="H168" s="1"/>
      <c r="I168" s="1"/>
      <c r="J168" s="1"/>
      <c r="K168" s="1"/>
      <c r="L168" s="1"/>
    </row>
    <row r="169" spans="1:12" x14ac:dyDescent="0.3">
      <c r="A169" s="1"/>
      <c r="B169" s="1"/>
      <c r="C169" s="1"/>
      <c r="D169" s="1"/>
      <c r="E169" s="1"/>
      <c r="F169" s="1"/>
      <c r="G169" s="1"/>
      <c r="H169" s="1"/>
      <c r="I169" s="1"/>
      <c r="J169" s="1"/>
      <c r="K169" s="1"/>
      <c r="L169" s="1"/>
    </row>
    <row r="170" spans="1:12" x14ac:dyDescent="0.3">
      <c r="A170" s="1"/>
      <c r="B170" s="1"/>
      <c r="C170" s="1"/>
      <c r="D170" s="1"/>
      <c r="E170" s="1"/>
      <c r="F170" s="1"/>
      <c r="G170" s="1"/>
      <c r="H170" s="1"/>
      <c r="I170" s="1"/>
      <c r="J170" s="1"/>
      <c r="K170" s="1"/>
      <c r="L170" s="1"/>
    </row>
    <row r="171" spans="1:12" x14ac:dyDescent="0.3">
      <c r="A171" s="1"/>
      <c r="B171" s="1"/>
      <c r="C171" s="1"/>
      <c r="D171" s="1"/>
      <c r="E171" s="1"/>
      <c r="F171" s="1"/>
      <c r="G171" s="1"/>
      <c r="H171" s="1"/>
      <c r="I171" s="1"/>
      <c r="J171" s="1"/>
      <c r="K171" s="1"/>
      <c r="L171" s="1"/>
    </row>
    <row r="172" spans="1:12" x14ac:dyDescent="0.3">
      <c r="A172" s="1"/>
      <c r="B172" s="1"/>
      <c r="C172" s="1"/>
      <c r="D172" s="1"/>
      <c r="E172" s="1"/>
      <c r="F172" s="1"/>
      <c r="G172" s="1"/>
      <c r="H172" s="1"/>
      <c r="I172" s="1"/>
      <c r="J172" s="1"/>
      <c r="K172" s="1"/>
      <c r="L172" s="1"/>
    </row>
    <row r="173" spans="1:12" x14ac:dyDescent="0.3">
      <c r="A173" s="1"/>
      <c r="B173" s="1"/>
      <c r="C173" s="1"/>
      <c r="D173" s="1"/>
      <c r="E173" s="1"/>
      <c r="F173" s="1"/>
      <c r="G173" s="1"/>
      <c r="H173" s="1"/>
      <c r="I173" s="1"/>
      <c r="J173" s="1"/>
      <c r="K173" s="1"/>
      <c r="L173" s="1"/>
    </row>
    <row r="174" spans="1:12" x14ac:dyDescent="0.3">
      <c r="A174" s="1"/>
      <c r="B174" s="1"/>
      <c r="C174" s="1"/>
      <c r="D174" s="1"/>
      <c r="E174" s="1"/>
      <c r="F174" s="1"/>
      <c r="G174" s="1"/>
      <c r="H174" s="1"/>
      <c r="I174" s="1"/>
      <c r="J174" s="1"/>
      <c r="K174" s="1"/>
      <c r="L174" s="1"/>
    </row>
    <row r="175" spans="1:12" x14ac:dyDescent="0.3">
      <c r="A175" s="1"/>
      <c r="B175" s="1"/>
      <c r="C175" s="1"/>
      <c r="D175" s="1"/>
      <c r="E175" s="1"/>
      <c r="F175" s="1"/>
      <c r="G175" s="1"/>
      <c r="H175" s="1"/>
      <c r="I175" s="1"/>
      <c r="J175" s="1"/>
      <c r="K175" s="1"/>
      <c r="L175" s="1"/>
    </row>
    <row r="176" spans="1:12" x14ac:dyDescent="0.3">
      <c r="A176" s="1"/>
      <c r="B176" s="1"/>
      <c r="C176" s="1"/>
      <c r="D176" s="1"/>
      <c r="E176" s="1"/>
      <c r="F176" s="1"/>
      <c r="G176" s="1"/>
      <c r="H176" s="1"/>
      <c r="I176" s="1"/>
      <c r="J176" s="1"/>
      <c r="K176" s="1"/>
      <c r="L176" s="1"/>
    </row>
    <row r="177" spans="1:12" x14ac:dyDescent="0.3">
      <c r="A177" s="1"/>
      <c r="B177" s="1"/>
      <c r="C177" s="1"/>
      <c r="D177" s="1"/>
      <c r="E177" s="1"/>
      <c r="F177" s="1"/>
      <c r="G177" s="1"/>
      <c r="H177" s="1"/>
      <c r="I177" s="1"/>
      <c r="J177" s="1"/>
      <c r="K177" s="1"/>
      <c r="L177" s="1"/>
    </row>
    <row r="178" spans="1:12" x14ac:dyDescent="0.3">
      <c r="A178" s="1"/>
      <c r="B178" s="1"/>
      <c r="C178" s="1"/>
      <c r="D178" s="1"/>
      <c r="E178" s="1"/>
      <c r="F178" s="1"/>
      <c r="G178" s="1"/>
      <c r="H178" s="1"/>
      <c r="I178" s="1"/>
      <c r="J178" s="1"/>
      <c r="K178" s="1"/>
      <c r="L178" s="1"/>
    </row>
    <row r="179" spans="1:12" x14ac:dyDescent="0.3">
      <c r="A179" s="1"/>
      <c r="B179" s="1"/>
      <c r="C179" s="1"/>
      <c r="D179" s="1"/>
      <c r="E179" s="1"/>
      <c r="F179" s="1"/>
      <c r="G179" s="1"/>
      <c r="H179" s="1"/>
      <c r="I179" s="1"/>
      <c r="J179" s="1"/>
      <c r="K179" s="1"/>
      <c r="L179" s="1"/>
    </row>
    <row r="180" spans="1:12" x14ac:dyDescent="0.3">
      <c r="A180" s="1"/>
      <c r="B180" s="1"/>
      <c r="C180" s="1"/>
      <c r="D180" s="1"/>
      <c r="E180" s="1"/>
      <c r="F180" s="1"/>
      <c r="G180" s="1"/>
      <c r="H180" s="1"/>
      <c r="I180" s="1"/>
      <c r="J180" s="1"/>
      <c r="K180" s="1"/>
      <c r="L180" s="1"/>
    </row>
    <row r="181" spans="1:12" x14ac:dyDescent="0.3">
      <c r="A181" s="1"/>
      <c r="B181" s="1"/>
      <c r="C181" s="1"/>
      <c r="D181" s="1"/>
      <c r="E181" s="1"/>
      <c r="F181" s="1"/>
      <c r="G181" s="1"/>
      <c r="H181" s="1"/>
      <c r="I181" s="1"/>
      <c r="J181" s="1"/>
      <c r="K181" s="1"/>
      <c r="L181" s="1"/>
    </row>
    <row r="182" spans="1:12" x14ac:dyDescent="0.3">
      <c r="A182" s="1"/>
      <c r="B182" s="1"/>
      <c r="C182" s="1"/>
      <c r="D182" s="1"/>
      <c r="E182" s="1"/>
      <c r="F182" s="1"/>
      <c r="G182" s="1"/>
      <c r="H182" s="1"/>
      <c r="I182" s="1"/>
      <c r="J182" s="1"/>
      <c r="K182" s="1"/>
      <c r="L182" s="1"/>
    </row>
    <row r="183" spans="1:12" x14ac:dyDescent="0.3">
      <c r="A183" s="1"/>
      <c r="B183" s="1"/>
      <c r="C183" s="1"/>
      <c r="D183" s="1"/>
      <c r="E183" s="1"/>
      <c r="F183" s="1"/>
      <c r="G183" s="1"/>
      <c r="H183" s="1"/>
      <c r="I183" s="1"/>
      <c r="J183" s="1"/>
      <c r="K183" s="1"/>
      <c r="L183" s="1"/>
    </row>
    <row r="184" spans="1:12" x14ac:dyDescent="0.3">
      <c r="A184" s="1"/>
      <c r="B184" s="1"/>
      <c r="C184" s="1"/>
      <c r="D184" s="1"/>
      <c r="E184" s="1"/>
      <c r="F184" s="1"/>
      <c r="G184" s="1"/>
      <c r="H184" s="1"/>
      <c r="I184" s="1"/>
      <c r="J184" s="1"/>
      <c r="K184" s="1"/>
      <c r="L184" s="1"/>
    </row>
    <row r="185" spans="1:12" x14ac:dyDescent="0.3">
      <c r="A185" s="1"/>
      <c r="B185" s="1"/>
      <c r="C185" s="1"/>
      <c r="D185" s="1"/>
      <c r="E185" s="1"/>
      <c r="F185" s="1"/>
      <c r="G185" s="1"/>
      <c r="H185" s="1"/>
      <c r="I185" s="1"/>
      <c r="J185" s="1"/>
      <c r="K185" s="1"/>
      <c r="L185" s="1"/>
    </row>
    <row r="186" spans="1:12" x14ac:dyDescent="0.3">
      <c r="A186" s="1"/>
      <c r="B186" s="1"/>
      <c r="C186" s="1"/>
      <c r="D186" s="1"/>
      <c r="E186" s="1"/>
      <c r="F186" s="1"/>
      <c r="G186" s="1"/>
      <c r="H186" s="1"/>
      <c r="I186" s="1"/>
      <c r="J186" s="1"/>
      <c r="K186" s="1"/>
      <c r="L186" s="1"/>
    </row>
    <row r="187" spans="1:12" x14ac:dyDescent="0.3">
      <c r="A187" s="1"/>
      <c r="B187" s="1"/>
      <c r="C187" s="1"/>
      <c r="D187" s="1"/>
      <c r="E187" s="1"/>
      <c r="F187" s="1"/>
      <c r="G187" s="1"/>
      <c r="H187" s="1"/>
      <c r="I187" s="1"/>
      <c r="J187" s="1"/>
      <c r="K187" s="1"/>
      <c r="L187" s="1"/>
    </row>
    <row r="188" spans="1:12" x14ac:dyDescent="0.3">
      <c r="A188" s="1"/>
      <c r="B188" s="1"/>
      <c r="C188" s="1"/>
      <c r="D188" s="1"/>
      <c r="E188" s="1"/>
      <c r="F188" s="1"/>
      <c r="G188" s="1"/>
      <c r="H188" s="1"/>
      <c r="I188" s="1"/>
      <c r="J188" s="1"/>
      <c r="K188" s="1"/>
      <c r="L188" s="1"/>
    </row>
    <row r="189" spans="1:12" x14ac:dyDescent="0.3">
      <c r="A189" s="1"/>
      <c r="B189" s="1"/>
      <c r="C189" s="1"/>
      <c r="D189" s="1"/>
      <c r="E189" s="1"/>
      <c r="F189" s="1"/>
      <c r="G189" s="1"/>
      <c r="H189" s="1"/>
      <c r="I189" s="1"/>
      <c r="J189" s="1"/>
      <c r="K189" s="1"/>
      <c r="L189" s="1"/>
    </row>
    <row r="190" spans="1:12" x14ac:dyDescent="0.3">
      <c r="A190" s="1"/>
      <c r="B190" s="1"/>
      <c r="C190" s="1"/>
      <c r="D190" s="1"/>
      <c r="E190" s="1"/>
      <c r="F190" s="1"/>
      <c r="G190" s="1"/>
      <c r="H190" s="1"/>
      <c r="I190" s="1"/>
      <c r="J190" s="1"/>
      <c r="K190" s="1"/>
      <c r="L190" s="1"/>
    </row>
    <row r="191" spans="1:12" x14ac:dyDescent="0.3">
      <c r="A191" s="1"/>
      <c r="B191" s="1"/>
      <c r="C191" s="1"/>
      <c r="D191" s="1"/>
      <c r="E191" s="1"/>
      <c r="F191" s="1"/>
      <c r="G191" s="1"/>
      <c r="H191" s="1"/>
      <c r="I191" s="1"/>
      <c r="J191" s="1"/>
      <c r="K191" s="1"/>
      <c r="L191" s="1"/>
    </row>
    <row r="192" spans="1:12" x14ac:dyDescent="0.3">
      <c r="A192" s="1"/>
      <c r="B192" s="1"/>
      <c r="C192" s="1"/>
      <c r="D192" s="1"/>
      <c r="E192" s="1"/>
      <c r="F192" s="1"/>
      <c r="G192" s="1"/>
      <c r="H192" s="1"/>
      <c r="I192" s="1"/>
      <c r="J192" s="1"/>
      <c r="K192" s="1"/>
      <c r="L192" s="1"/>
    </row>
    <row r="193" spans="1:12" x14ac:dyDescent="0.3">
      <c r="A193" s="1"/>
      <c r="B193" s="1"/>
      <c r="C193" s="1"/>
      <c r="D193" s="1"/>
      <c r="E193" s="1"/>
      <c r="F193" s="1"/>
      <c r="G193" s="1"/>
      <c r="H193" s="1"/>
      <c r="I193" s="1"/>
      <c r="J193" s="1"/>
      <c r="K193" s="1"/>
      <c r="L193" s="1"/>
    </row>
    <row r="194" spans="1:12" x14ac:dyDescent="0.3">
      <c r="A194" s="1"/>
      <c r="B194" s="1"/>
      <c r="C194" s="1"/>
      <c r="D194" s="1"/>
      <c r="E194" s="1"/>
      <c r="F194" s="1"/>
      <c r="G194" s="1"/>
      <c r="H194" s="1"/>
      <c r="I194" s="1"/>
      <c r="J194" s="1"/>
      <c r="K194" s="1"/>
      <c r="L194" s="1"/>
    </row>
    <row r="195" spans="1:12" x14ac:dyDescent="0.3">
      <c r="A195" s="1"/>
      <c r="B195" s="1"/>
      <c r="C195" s="1"/>
      <c r="D195" s="1"/>
      <c r="E195" s="1"/>
      <c r="F195" s="1"/>
      <c r="G195" s="1"/>
      <c r="H195" s="1"/>
      <c r="I195" s="1"/>
      <c r="J195" s="1"/>
      <c r="K195" s="1"/>
      <c r="L195" s="1"/>
    </row>
    <row r="196" spans="1:12" x14ac:dyDescent="0.3">
      <c r="A196" s="1"/>
      <c r="B196" s="1"/>
      <c r="C196" s="1"/>
      <c r="D196" s="1"/>
      <c r="E196" s="1"/>
      <c r="F196" s="1"/>
      <c r="G196" s="1"/>
      <c r="H196" s="1"/>
      <c r="I196" s="1"/>
      <c r="J196" s="1"/>
      <c r="K196" s="1"/>
      <c r="L196" s="1"/>
    </row>
    <row r="197" spans="1:12" x14ac:dyDescent="0.3">
      <c r="A197" s="1"/>
      <c r="B197" s="1"/>
      <c r="C197" s="1"/>
      <c r="D197" s="1"/>
      <c r="E197" s="1"/>
      <c r="F197" s="1"/>
      <c r="G197" s="1"/>
      <c r="H197" s="1"/>
      <c r="I197" s="1"/>
      <c r="J197" s="1"/>
      <c r="K197" s="1"/>
      <c r="L197" s="1"/>
    </row>
    <row r="198" spans="1:12" x14ac:dyDescent="0.3">
      <c r="A198" s="1"/>
      <c r="B198" s="1"/>
      <c r="C198" s="1"/>
      <c r="D198" s="1"/>
      <c r="E198" s="1"/>
      <c r="F198" s="1"/>
      <c r="G198" s="1"/>
      <c r="H198" s="1"/>
      <c r="I198" s="1"/>
      <c r="J198" s="1"/>
      <c r="K198" s="1"/>
      <c r="L198" s="1"/>
    </row>
    <row r="199" spans="1:12" x14ac:dyDescent="0.3">
      <c r="A199" s="1"/>
      <c r="B199" s="1"/>
      <c r="C199" s="1"/>
      <c r="D199" s="1"/>
      <c r="E199" s="1"/>
      <c r="F199" s="1"/>
      <c r="G199" s="1"/>
      <c r="H199" s="1"/>
      <c r="I199" s="1"/>
      <c r="J199" s="1"/>
      <c r="K199" s="1"/>
      <c r="L199" s="1"/>
    </row>
    <row r="200" spans="1:12" x14ac:dyDescent="0.3">
      <c r="A200" s="1"/>
      <c r="B200" s="1"/>
      <c r="C200" s="1"/>
      <c r="D200" s="1"/>
      <c r="E200" s="1"/>
      <c r="F200" s="1"/>
      <c r="G200" s="1"/>
      <c r="H200" s="1"/>
      <c r="I200" s="1"/>
      <c r="J200" s="1"/>
      <c r="K200" s="1"/>
      <c r="L200"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9459" r:id="rId4" name="CommandButton2">
          <controlPr defaultSize="0" autoLine="0" r:id="rId5">
            <anchor moveWithCells="1">
              <from>
                <xdr:col>11</xdr:col>
                <xdr:colOff>624840</xdr:colOff>
                <xdr:row>18</xdr:row>
                <xdr:rowOff>30480</xdr:rowOff>
              </from>
              <to>
                <xdr:col>13</xdr:col>
                <xdr:colOff>655320</xdr:colOff>
                <xdr:row>21</xdr:row>
                <xdr:rowOff>30480</xdr:rowOff>
              </to>
            </anchor>
          </controlPr>
        </control>
      </mc:Choice>
      <mc:Fallback>
        <control shapeId="19459" r:id="rId4" name="CommandButton2"/>
      </mc:Fallback>
    </mc:AlternateContent>
    <mc:AlternateContent xmlns:mc="http://schemas.openxmlformats.org/markup-compatibility/2006">
      <mc:Choice Requires="x14">
        <control shapeId="19458" r:id="rId6" name="CommandButton1">
          <controlPr defaultSize="0" autoLine="0" r:id="rId7">
            <anchor moveWithCells="1">
              <from>
                <xdr:col>0</xdr:col>
                <xdr:colOff>0</xdr:colOff>
                <xdr:row>18</xdr:row>
                <xdr:rowOff>30480</xdr:rowOff>
              </from>
              <to>
                <xdr:col>1</xdr:col>
                <xdr:colOff>662940</xdr:colOff>
                <xdr:row>21</xdr:row>
                <xdr:rowOff>38100</xdr:rowOff>
              </to>
            </anchor>
          </controlPr>
        </control>
      </mc:Choice>
      <mc:Fallback>
        <control shapeId="19458" r:id="rId6"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871ED-1BF0-4ECA-A6D5-639D71DF9683}">
  <sheetPr codeName="Sheet13"/>
  <dimension ref="A1:AH120"/>
  <sheetViews>
    <sheetView topLeftCell="M1" workbookViewId="0">
      <selection activeCell="M1" sqref="M1"/>
    </sheetView>
  </sheetViews>
  <sheetFormatPr defaultRowHeight="14.4" x14ac:dyDescent="0.3"/>
  <cols>
    <col min="13" max="13" width="20" customWidth="1"/>
    <col min="14" max="14" width="14.77734375" customWidth="1"/>
    <col min="15" max="15" width="6.77734375" customWidth="1"/>
    <col min="16" max="19" width="11.21875" customWidth="1"/>
    <col min="23" max="23" width="11.21875" customWidth="1"/>
    <col min="28" max="28" width="11.21875" customWidth="1"/>
    <col min="29" max="29" width="17.21875" customWidth="1"/>
  </cols>
  <sheetData>
    <row r="1" spans="1:34" x14ac:dyDescent="0.3">
      <c r="A1" s="8" t="s">
        <v>30</v>
      </c>
      <c r="B1" s="8" t="s">
        <v>34</v>
      </c>
      <c r="C1" s="8" t="s">
        <v>31</v>
      </c>
      <c r="D1" s="9" t="s">
        <v>35</v>
      </c>
      <c r="E1" s="8" t="s">
        <v>30</v>
      </c>
      <c r="F1" s="8" t="s">
        <v>34</v>
      </c>
      <c r="G1" s="8" t="s">
        <v>31</v>
      </c>
      <c r="H1" s="9" t="s">
        <v>35</v>
      </c>
      <c r="I1" s="8" t="s">
        <v>30</v>
      </c>
      <c r="J1" s="8" t="s">
        <v>34</v>
      </c>
      <c r="K1" s="8" t="s">
        <v>31</v>
      </c>
      <c r="L1" s="9" t="s">
        <v>35</v>
      </c>
      <c r="M1" s="6" t="s">
        <v>37</v>
      </c>
      <c r="N1" s="6" t="s">
        <v>38</v>
      </c>
      <c r="O1" s="6" t="s">
        <v>20</v>
      </c>
      <c r="P1" s="6" t="s">
        <v>36</v>
      </c>
      <c r="Q1" s="6" t="s">
        <v>41</v>
      </c>
      <c r="R1" s="6" t="s">
        <v>32</v>
      </c>
      <c r="S1" s="6" t="s">
        <v>42</v>
      </c>
      <c r="T1" s="6" t="s">
        <v>39</v>
      </c>
      <c r="U1" s="6" t="s">
        <v>40</v>
      </c>
      <c r="V1" s="6" t="s">
        <v>20</v>
      </c>
      <c r="W1" s="6" t="s">
        <v>36</v>
      </c>
      <c r="X1" s="6" t="s">
        <v>41</v>
      </c>
      <c r="Y1" s="6" t="s">
        <v>32</v>
      </c>
      <c r="Z1" s="6" t="s">
        <v>42</v>
      </c>
      <c r="AB1" s="6" t="s">
        <v>49</v>
      </c>
      <c r="AC1" s="6" t="s">
        <v>50</v>
      </c>
      <c r="AE1" t="str" cm="1">
        <f t="array" aca="1" ref="AE1:AH11" ca="1">_xlfn.VSTACK(_xlfn._xlws.FILTER(P:S, (S:S&lt;&gt;"")*(S:S&lt;&gt;"Total Score")*(ISNA(S:S)=FALSE)), _xlfn._xlws.FILTER(W:Z, (X:X&lt;&gt;"")*(X:X&lt;&gt;"Total Score")*(ISNA(X:X)=FALSE)))</f>
        <v>Actual Team</v>
      </c>
      <c r="AF1" t="str">
        <f ca="1"/>
        <v>Total Score</v>
      </c>
      <c r="AG1" t="str">
        <f ca="1"/>
        <v>Margin</v>
      </c>
      <c r="AH1" t="str">
        <f ca="1"/>
        <v>Points</v>
      </c>
    </row>
    <row r="2" spans="1:34" x14ac:dyDescent="0.3">
      <c r="A2" t="str" cm="1">
        <f t="array" aca="1" ref="A2:B7" ca="1">IFERROR(_xlfn._xlws.FILTER('Round 1'!#REF!, ('Round 1'!#REF!&lt;&gt;"")*('Round 1'!#REF!&lt;&gt;"Affirmative")), "")</f>
        <v>Roan Bird</v>
      </c>
      <c r="B2">
        <f ca="1"/>
        <v>75</v>
      </c>
      <c r="C2" t="str" cm="1">
        <f t="array" aca="1" ref="C2:D7" ca="1">IFERROR(_xlfn._xlws.FILTER('Round 1'!$I:$M, ('Round 1'!$M:$M&lt;&gt;"")*('Round 1'!$I:$I&lt;&gt;"Negative")), "")</f>
        <v>Ava Stewart</v>
      </c>
      <c r="D2">
        <f ca="1"/>
        <v>75</v>
      </c>
      <c r="E2" t="str" cm="1">
        <f t="array" aca="1" ref="E2:F7" ca="1">IFERROR(_xlfn._xlws.FILTER('Round 1'!$P:$S, ('Round 1'!$S:$S&lt;&gt;"")*('Round 1'!$P:$P&lt;&gt;"Affirmative")), "")</f>
        <v>Declan Clarke</v>
      </c>
      <c r="F2">
        <f ca="1"/>
        <v>74</v>
      </c>
      <c r="G2" t="str" cm="1">
        <f t="array" aca="1" ref="G2:H7" ca="1">IFERROR(_xlfn._xlws.FILTER('Round 1'!$U:$V, ('Round 1'!$V:$V&lt;&gt;"")*('Round 1'!$U:$U&lt;&gt;"Negative")), "")</f>
        <v>Minh Hieu Tran</v>
      </c>
      <c r="H2">
        <f ca="1"/>
        <v>73</v>
      </c>
      <c r="I2" t="str" cm="1">
        <f t="array" aca="1" ref="I2:J4" ca="1">IFERROR(_xlfn._xlws.FILTER('Round 1'!$X:$Y, ('Round 1'!$Y:$Y&lt;&gt;"")*('Round 1'!$X:$X&lt;&gt;"Affirmative")), "")</f>
        <v>Aadi Malhorta</v>
      </c>
      <c r="J2">
        <f ca="1"/>
        <v>74</v>
      </c>
      <c r="K2" t="str" cm="1">
        <f t="array" aca="1" ref="K2:L4" ca="1">IFERROR(_xlfn._xlws.FILTER('Round 1'!$Z:$AA, ('Round 1'!$AA:$AA&lt;&gt;"")*('Round 1'!$Z:$Z&lt;&gt;"Negative")), "")</f>
        <v>Yifan Sun</v>
      </c>
      <c r="L2">
        <f ca="1"/>
        <v>75</v>
      </c>
      <c r="M2" t="str" cm="1">
        <f t="array" aca="1" ref="M2:N16" ca="1">IFERROR(_xlfn.VSTACK(_xlfn.ANCHORARRAY(A2),_xlfn.ANCHORARRAY( E2),_xlfn.ANCHORARRAY( I2)), "")</f>
        <v>Roan Bird</v>
      </c>
      <c r="N2">
        <f ca="1"/>
        <v>75</v>
      </c>
      <c r="O2">
        <f ca="1">IFERROR(INDEX(Roll!$C:$C, MATCH(M2, Roll!$B:$B, 0)), "")</f>
        <v>3</v>
      </c>
      <c r="P2">
        <f ca="1">IF(O2&lt;&gt;"",IFERROR(MODE(O2:O4), O2), "")</f>
        <v>5</v>
      </c>
      <c r="T2" t="str" cm="1">
        <f t="array" aca="1" ref="T2:U16" ca="1">IFERROR(_xlfn.VSTACK(_xlfn.ANCHORARRAY(C2),_xlfn.ANCHORARRAY( G2),_xlfn.ANCHORARRAY( K2)), "")</f>
        <v>Ava Stewart</v>
      </c>
      <c r="U2">
        <f ca="1"/>
        <v>75</v>
      </c>
      <c r="V2">
        <f ca="1">IFERROR(INDEX(Roll!$C:$C, MATCH(T2, Roll!$B:$B, 0)), "")</f>
        <v>7</v>
      </c>
      <c r="W2">
        <f ca="1">IF(V2&lt;&gt;"",IFERROR(MODE(V2:V4), V2), "")</f>
        <v>7</v>
      </c>
      <c r="AB2" t="str" cm="1">
        <f t="array" aca="1" ref="AB2:AC31" ca="1">_xlfn.SORTBY(_xlfn.VSTACK(_xlfn.ANCHORARRAY(A2),_xlfn.ANCHORARRAY( C2),_xlfn.ANCHORARRAY( E2),_xlfn.ANCHORARRAY( G2),_xlfn.ANCHORARRAY( I2),_xlfn.ANCHORARRAY( K2)), INDEX(_xlfn.VSTACK(_xlfn.ANCHORARRAY(A2),_xlfn.ANCHORARRAY( C2),_xlfn.ANCHORARRAY( E2),_xlfn.ANCHORARRAY( G2),_xlfn.ANCHORARRAY( I2),_xlfn.ANCHORARRAY( K2)), , 2), -1)</f>
        <v>Oliver Kleinig</v>
      </c>
      <c r="AC2">
        <f ca="1"/>
        <v>77</v>
      </c>
      <c r="AE2">
        <f ca="1"/>
        <v>5</v>
      </c>
      <c r="AF2">
        <f ca="1"/>
        <v>225</v>
      </c>
      <c r="AG2">
        <f ca="1"/>
        <v>3</v>
      </c>
      <c r="AH2">
        <f ca="1"/>
        <v>1</v>
      </c>
    </row>
    <row r="3" spans="1:34" x14ac:dyDescent="0.3">
      <c r="A3" t="str">
        <f ca="1"/>
        <v>Eliza Rayner</v>
      </c>
      <c r="B3">
        <f ca="1"/>
        <v>74</v>
      </c>
      <c r="C3" t="str">
        <f ca="1"/>
        <v>Sai Ragav.</v>
      </c>
      <c r="D3">
        <f ca="1"/>
        <v>73</v>
      </c>
      <c r="E3" t="str">
        <f ca="1"/>
        <v>Aaryan Goriyaan</v>
      </c>
      <c r="F3">
        <f ca="1"/>
        <v>72</v>
      </c>
      <c r="G3" t="str">
        <f ca="1"/>
        <v>Amy Zander</v>
      </c>
      <c r="H3">
        <f ca="1"/>
        <v>75</v>
      </c>
      <c r="I3" t="str">
        <f ca="1"/>
        <v>Michael Deng</v>
      </c>
      <c r="J3">
        <f ca="1"/>
        <v>74</v>
      </c>
      <c r="K3" t="str">
        <f ca="1"/>
        <v>Shengyin Bai</v>
      </c>
      <c r="L3">
        <f ca="1"/>
        <v>74</v>
      </c>
      <c r="M3" t="str">
        <f ca="1"/>
        <v>Eliza Rayner</v>
      </c>
      <c r="N3">
        <f ca="1"/>
        <v>74</v>
      </c>
      <c r="O3">
        <f ca="1">IFERROR(INDEX(Roll!$C:$C, MATCH(M3, Roll!$B:$B, 0)), "")</f>
        <v>5</v>
      </c>
      <c r="P3">
        <f ca="1">IF(O3&lt;&gt;"",IFERROR(MODE(O2:O4), O2), "")</f>
        <v>5</v>
      </c>
      <c r="T3" t="str">
        <f ca="1"/>
        <v>Sai Ragav.</v>
      </c>
      <c r="U3">
        <f ca="1"/>
        <v>73</v>
      </c>
      <c r="V3" t="str">
        <f ca="1">IFERROR(INDEX(Roll!$C:$C, MATCH(T3, Roll!$B:$B, 0)), "")</f>
        <v/>
      </c>
      <c r="W3" t="str">
        <f ca="1">IF(V3&lt;&gt;"",IFERROR(MODE(V2:V4), V2), "")</f>
        <v/>
      </c>
      <c r="AB3" t="str">
        <f ca="1"/>
        <v> Silas Hansch-Maher</v>
      </c>
      <c r="AC3">
        <f ca="1"/>
        <v>77</v>
      </c>
      <c r="AE3">
        <f ca="1"/>
        <v>10</v>
      </c>
      <c r="AF3">
        <f ca="1"/>
        <v>230</v>
      </c>
      <c r="AG3">
        <f ca="1"/>
        <v>3</v>
      </c>
      <c r="AH3">
        <f ca="1"/>
        <v>1</v>
      </c>
    </row>
    <row r="4" spans="1:34" x14ac:dyDescent="0.3">
      <c r="A4" t="str">
        <f ca="1"/>
        <v>Sophia Figueroa</v>
      </c>
      <c r="B4">
        <f ca="1"/>
        <v>76</v>
      </c>
      <c r="C4" t="str">
        <f ca="1"/>
        <v>Max Stewart</v>
      </c>
      <c r="D4">
        <f ca="1"/>
        <v>74</v>
      </c>
      <c r="E4" t="str">
        <f ca="1"/>
        <v>Lang Lu</v>
      </c>
      <c r="F4">
        <f ca="1"/>
        <v>75</v>
      </c>
      <c r="G4" t="str">
        <f ca="1"/>
        <v>Syme Aftab</v>
      </c>
      <c r="H4">
        <f ca="1"/>
        <v>77</v>
      </c>
      <c r="I4" t="str">
        <f ca="1"/>
        <v>Kerry Yao</v>
      </c>
      <c r="J4">
        <f ca="1"/>
        <v>74</v>
      </c>
      <c r="K4" t="str">
        <f ca="1"/>
        <v>Chengdong Wu</v>
      </c>
      <c r="L4">
        <f ca="1"/>
        <v>72</v>
      </c>
      <c r="M4" t="str">
        <f ca="1"/>
        <v>Sophia Figueroa</v>
      </c>
      <c r="N4">
        <f ca="1"/>
        <v>76</v>
      </c>
      <c r="O4">
        <f ca="1">IFERROR(INDEX(Roll!$C:$C, MATCH(M4, Roll!$B:$B, 0)), "")</f>
        <v>5</v>
      </c>
      <c r="P4">
        <f ca="1">IF(O4&lt;&gt;"",IFERROR(MODE(O2:O4), O2), "")</f>
        <v>5</v>
      </c>
      <c r="Q4">
        <f ca="1">IF(N4&lt;&gt;"", IF(MOD(ROW()-1, 3)=0, SUM(N2:N4), ""), "")</f>
        <v>225</v>
      </c>
      <c r="R4">
        <f ca="1">IFERROR(IF(MOD(ROW()-1, 3)=0, Q4-X4, ""), "")</f>
        <v>3</v>
      </c>
      <c r="S4">
        <f ca="1">IF(N4&lt;&gt;"", IF(MOD(ROW()-1, 3)=0, IF((R4&gt;0), 1, 0), ""), "")</f>
        <v>1</v>
      </c>
      <c r="T4" t="str">
        <f ca="1"/>
        <v>Max Stewart</v>
      </c>
      <c r="U4">
        <f ca="1"/>
        <v>74</v>
      </c>
      <c r="V4">
        <f ca="1">IFERROR(INDEX(Roll!$C:$C, MATCH(T4, Roll!$B:$B, 0)), "")</f>
        <v>6</v>
      </c>
      <c r="W4">
        <f ca="1">IF(V4&lt;&gt;"",IFERROR(MODE(V2:V4), V2), "")</f>
        <v>7</v>
      </c>
      <c r="X4">
        <f ca="1">IF(U4&lt;&gt;"", IF(MOD(ROW()-1, 3)=0, SUM(U2:U4), ""), "")</f>
        <v>222</v>
      </c>
      <c r="Y4">
        <f ca="1">IFERROR(IF(MOD(ROW()-1, 3)=0, X4-Q4, ""), "")</f>
        <v>-3</v>
      </c>
      <c r="Z4">
        <f ca="1">IF(U4&lt;&gt;"", IF(MOD(ROW()-1, 3)=0, IF((Y4&gt;0), 1, 0), ""), "")</f>
        <v>0</v>
      </c>
      <c r="AB4" t="str">
        <f ca="1"/>
        <v>Sam Button</v>
      </c>
      <c r="AC4">
        <f ca="1"/>
        <v>77</v>
      </c>
      <c r="AE4">
        <f ca="1"/>
        <v>9</v>
      </c>
      <c r="AF4">
        <f ca="1"/>
        <v>221</v>
      </c>
      <c r="AG4">
        <f ca="1"/>
        <v>-4</v>
      </c>
      <c r="AH4">
        <f ca="1"/>
        <v>0</v>
      </c>
    </row>
    <row r="5" spans="1:34" x14ac:dyDescent="0.3">
      <c r="A5" t="str">
        <f ca="1"/>
        <v>Jess Zhang</v>
      </c>
      <c r="B5">
        <f ca="1"/>
        <v>76</v>
      </c>
      <c r="C5" t="str">
        <f ca="1"/>
        <v>Bede Hansch-Maher</v>
      </c>
      <c r="D5">
        <f ca="1"/>
        <v>76</v>
      </c>
      <c r="E5" t="str">
        <f ca="1"/>
        <v>Sam Button</v>
      </c>
      <c r="F5">
        <f ca="1"/>
        <v>77</v>
      </c>
      <c r="G5" t="str">
        <f ca="1"/>
        <v>Harry Elliott</v>
      </c>
      <c r="H5">
        <f ca="1"/>
        <v>75</v>
      </c>
      <c r="M5" t="str">
        <f ca="1"/>
        <v>Jess Zhang</v>
      </c>
      <c r="N5">
        <f ca="1"/>
        <v>76</v>
      </c>
      <c r="O5">
        <f ca="1">IFERROR(INDEX(Roll!$C:$C, MATCH(M5, Roll!$B:$B, 0)), "")</f>
        <v>10</v>
      </c>
      <c r="P5">
        <f ca="1">IF(O5&lt;&gt;"", IFERROR(MODE(O5:O7), O5), "")</f>
        <v>10</v>
      </c>
      <c r="Q5" t="str">
        <f t="shared" ref="Q5:Q60" ca="1" si="0">IF(N5&lt;&gt;"", IF(MOD(ROW()-1, 3)=0, SUM(N3:N5), ""), "")</f>
        <v/>
      </c>
      <c r="R5" t="str">
        <f t="shared" ref="R5:R60" ca="1" si="1">IFERROR(IF(MOD(ROW()-1, 3)=0, Q5-X5, ""), "")</f>
        <v/>
      </c>
      <c r="S5" t="str">
        <f t="shared" ref="S5:S60" ca="1" si="2">IF(N5&lt;&gt;"", IF(MOD(ROW()-1, 3)=0, IF((R5&gt;0), 1, 0), ""), "")</f>
        <v/>
      </c>
      <c r="T5" t="str">
        <f ca="1"/>
        <v>Bede Hansch-Maher</v>
      </c>
      <c r="U5">
        <f ca="1"/>
        <v>76</v>
      </c>
      <c r="V5">
        <f ca="1">IFERROR(INDEX(Roll!$C:$C, MATCH(T5, Roll!$B:$B, 0)), "")</f>
        <v>4</v>
      </c>
      <c r="W5">
        <f ca="1">IF(V5&lt;&gt;"", IFERROR(MODE(V5:V7), V5), "")</f>
        <v>4</v>
      </c>
      <c r="X5" t="str">
        <f t="shared" ref="X5:X60" ca="1" si="3">IF(U5&lt;&gt;"", IF(MOD(ROW()-1, 3)=0, SUM(U3:U5), ""), "")</f>
        <v/>
      </c>
      <c r="Y5" t="str">
        <f t="shared" ref="Y5:Y60" ca="1" si="4">IFERROR(IF(MOD(ROW()-1, 3)=0, X5-Q5, ""), "")</f>
        <v/>
      </c>
      <c r="Z5" t="str">
        <f t="shared" ref="Z5:Z60" ca="1" si="5">IF(U5&lt;&gt;"", IF(MOD(ROW()-1, 3)=0, IF((Y5&gt;0), 1, 0), ""), "")</f>
        <v/>
      </c>
      <c r="AB5" t="str">
        <f ca="1"/>
        <v>Syme Aftab</v>
      </c>
      <c r="AC5">
        <f ca="1"/>
        <v>77</v>
      </c>
      <c r="AE5" t="str">
        <f ca="1"/>
        <v/>
      </c>
      <c r="AF5">
        <f ca="1"/>
        <v>226</v>
      </c>
      <c r="AG5">
        <f ca="1"/>
        <v>4</v>
      </c>
      <c r="AH5">
        <f ca="1"/>
        <v>1</v>
      </c>
    </row>
    <row r="6" spans="1:34" x14ac:dyDescent="0.3">
      <c r="A6" t="str">
        <f ca="1"/>
        <v>Oliver Kleinig</v>
      </c>
      <c r="B6">
        <f ca="1"/>
        <v>77</v>
      </c>
      <c r="C6" t="str">
        <f ca="1"/>
        <v>Laura Wright</v>
      </c>
      <c r="D6">
        <f ca="1"/>
        <v>76</v>
      </c>
      <c r="E6" t="str">
        <f ca="1"/>
        <v>Oliver Hooper</v>
      </c>
      <c r="F6">
        <f ca="1"/>
        <v>75</v>
      </c>
      <c r="G6" t="str">
        <f ca="1"/>
        <v>Korou Tonjam</v>
      </c>
      <c r="H6">
        <f ca="1"/>
        <v>74</v>
      </c>
      <c r="M6" t="str">
        <f ca="1"/>
        <v>Oliver Kleinig</v>
      </c>
      <c r="N6">
        <f ca="1"/>
        <v>77</v>
      </c>
      <c r="O6">
        <f ca="1">IFERROR(INDEX(Roll!$C:$C, MATCH(M6, Roll!$B:$B, 0)), "")</f>
        <v>10</v>
      </c>
      <c r="P6">
        <f ca="1">IF(O6&lt;&gt;"", IFERROR(MODE(O5:O7), O5), "")</f>
        <v>10</v>
      </c>
      <c r="Q6" t="str">
        <f t="shared" ca="1" si="0"/>
        <v/>
      </c>
      <c r="R6" t="str">
        <f t="shared" ca="1" si="1"/>
        <v/>
      </c>
      <c r="S6" t="str">
        <f t="shared" ca="1" si="2"/>
        <v/>
      </c>
      <c r="T6" t="str">
        <f ca="1"/>
        <v>Laura Wright</v>
      </c>
      <c r="U6">
        <f ca="1"/>
        <v>76</v>
      </c>
      <c r="V6">
        <f ca="1">IFERROR(INDEX(Roll!$C:$C, MATCH(T6, Roll!$B:$B, 0)), "")</f>
        <v>4</v>
      </c>
      <c r="W6">
        <f ca="1">IF(V6&lt;&gt;"", IFERROR(MODE(V5:V7), V5), "")</f>
        <v>4</v>
      </c>
      <c r="X6" t="str">
        <f t="shared" ca="1" si="3"/>
        <v/>
      </c>
      <c r="Y6" t="str">
        <f t="shared" ca="1" si="4"/>
        <v/>
      </c>
      <c r="Z6" t="str">
        <f t="shared" ca="1" si="5"/>
        <v/>
      </c>
      <c r="AB6" t="str">
        <f ca="1"/>
        <v>Sophia Figueroa</v>
      </c>
      <c r="AC6">
        <f ca="1"/>
        <v>76</v>
      </c>
      <c r="AE6">
        <f ca="1"/>
        <v>11</v>
      </c>
      <c r="AF6">
        <f ca="1"/>
        <v>222</v>
      </c>
      <c r="AG6">
        <f ca="1"/>
        <v>1</v>
      </c>
      <c r="AH6">
        <f ca="1"/>
        <v>1</v>
      </c>
    </row>
    <row r="7" spans="1:34" x14ac:dyDescent="0.3">
      <c r="A7" t="str">
        <f ca="1"/>
        <v> Silas Hansch-Maher</v>
      </c>
      <c r="B7">
        <f ca="1"/>
        <v>77</v>
      </c>
      <c r="C7" t="str">
        <f ca="1"/>
        <v>Theodore Lysaght</v>
      </c>
      <c r="D7">
        <f ca="1"/>
        <v>75</v>
      </c>
      <c r="E7" t="str">
        <f ca="1"/>
        <v>Hugo Craig</v>
      </c>
      <c r="F7">
        <f ca="1"/>
        <v>74</v>
      </c>
      <c r="G7" t="str">
        <f ca="1"/>
        <v>Emily Lai</v>
      </c>
      <c r="H7">
        <f ca="1"/>
        <v>73</v>
      </c>
      <c r="M7" t="str">
        <f ca="1"/>
        <v> Silas Hansch-Maher</v>
      </c>
      <c r="N7">
        <f ca="1"/>
        <v>77</v>
      </c>
      <c r="O7">
        <f ca="1">IFERROR(INDEX(Roll!$C:$C, MATCH(M7, Roll!$B:$B, 0)), "")</f>
        <v>10</v>
      </c>
      <c r="P7">
        <f ca="1">IF(O7&lt;&gt;"", IFERROR(MODE(O5:O7), O5), "")</f>
        <v>10</v>
      </c>
      <c r="Q7">
        <f t="shared" ca="1" si="0"/>
        <v>230</v>
      </c>
      <c r="R7">
        <f t="shared" ca="1" si="1"/>
        <v>3</v>
      </c>
      <c r="S7">
        <f t="shared" ca="1" si="2"/>
        <v>1</v>
      </c>
      <c r="T7" t="str">
        <f ca="1"/>
        <v>Theodore Lysaght</v>
      </c>
      <c r="U7">
        <f ca="1"/>
        <v>75</v>
      </c>
      <c r="V7">
        <f ca="1">IFERROR(INDEX(Roll!$C:$C, MATCH(T7, Roll!$B:$B, 0)), "")</f>
        <v>4</v>
      </c>
      <c r="W7">
        <f ca="1">IF(V7&lt;&gt;"", IFERROR(MODE(V5:V7), V5), "")</f>
        <v>4</v>
      </c>
      <c r="X7">
        <f t="shared" ca="1" si="3"/>
        <v>227</v>
      </c>
      <c r="Y7">
        <f t="shared" ca="1" si="4"/>
        <v>-3</v>
      </c>
      <c r="Z7">
        <f t="shared" ca="1" si="5"/>
        <v>0</v>
      </c>
      <c r="AB7" t="str">
        <f ca="1"/>
        <v>Jess Zhang</v>
      </c>
      <c r="AC7">
        <f ca="1"/>
        <v>76</v>
      </c>
      <c r="AE7">
        <f ca="1"/>
        <v>7</v>
      </c>
      <c r="AF7">
        <f ca="1"/>
        <v>222</v>
      </c>
      <c r="AG7">
        <f ca="1"/>
        <v>-3</v>
      </c>
      <c r="AH7">
        <f ca="1"/>
        <v>0</v>
      </c>
    </row>
    <row r="8" spans="1:34" x14ac:dyDescent="0.3">
      <c r="M8" t="str">
        <f ca="1"/>
        <v>Declan Clarke</v>
      </c>
      <c r="N8">
        <f ca="1"/>
        <v>74</v>
      </c>
      <c r="O8">
        <f ca="1">IFERROR(INDEX(Roll!$C:$C, MATCH(M8, Roll!$B:$B, 0)), "")</f>
        <v>9</v>
      </c>
      <c r="P8">
        <f t="shared" ref="P8" ca="1" si="6">IF(O8&lt;&gt;"",IFERROR(MODE(O8:O10), O8), "")</f>
        <v>9</v>
      </c>
      <c r="Q8" t="str">
        <f t="shared" ca="1" si="0"/>
        <v/>
      </c>
      <c r="R8" t="str">
        <f t="shared" ca="1" si="1"/>
        <v/>
      </c>
      <c r="S8" t="str">
        <f t="shared" ca="1" si="2"/>
        <v/>
      </c>
      <c r="T8" t="str">
        <f ca="1"/>
        <v>Minh Hieu Tran</v>
      </c>
      <c r="U8">
        <f ca="1"/>
        <v>73</v>
      </c>
      <c r="V8" t="str">
        <f ca="1">IFERROR(INDEX(Roll!$C:$C, MATCH(T8, Roll!$B:$B, 0)), "")</f>
        <v/>
      </c>
      <c r="W8" t="str">
        <f t="shared" ref="W8" ca="1" si="7">IF(V8&lt;&gt;"",IFERROR(MODE(V8:V10), V8), "")</f>
        <v/>
      </c>
      <c r="X8" t="str">
        <f t="shared" ca="1" si="3"/>
        <v/>
      </c>
      <c r="Y8" t="str">
        <f t="shared" ca="1" si="4"/>
        <v/>
      </c>
      <c r="Z8" t="str">
        <f t="shared" ca="1" si="5"/>
        <v/>
      </c>
      <c r="AB8" t="str">
        <f ca="1"/>
        <v>Bede Hansch-Maher</v>
      </c>
      <c r="AC8">
        <f ca="1"/>
        <v>76</v>
      </c>
      <c r="AE8">
        <f ca="1"/>
        <v>4</v>
      </c>
      <c r="AF8">
        <f ca="1"/>
        <v>227</v>
      </c>
      <c r="AG8">
        <f ca="1"/>
        <v>-3</v>
      </c>
      <c r="AH8">
        <f ca="1"/>
        <v>0</v>
      </c>
    </row>
    <row r="9" spans="1:34" x14ac:dyDescent="0.3">
      <c r="M9" t="str">
        <f ca="1"/>
        <v>Aaryan Goriyaan</v>
      </c>
      <c r="N9">
        <f ca="1"/>
        <v>72</v>
      </c>
      <c r="O9">
        <f ca="1">IFERROR(INDEX(Roll!$C:$C, MATCH(M9, Roll!$B:$B, 0)), "")</f>
        <v>6</v>
      </c>
      <c r="P9">
        <f t="shared" ref="P9" ca="1" si="8">IF(O9&lt;&gt;"",IFERROR(MODE(O8:O10), O8), "")</f>
        <v>9</v>
      </c>
      <c r="Q9" t="str">
        <f t="shared" ca="1" si="0"/>
        <v/>
      </c>
      <c r="R9" t="str">
        <f t="shared" ca="1" si="1"/>
        <v/>
      </c>
      <c r="S9" t="str">
        <f t="shared" ca="1" si="2"/>
        <v/>
      </c>
      <c r="T9" t="str">
        <f ca="1"/>
        <v>Amy Zander</v>
      </c>
      <c r="U9">
        <f ca="1"/>
        <v>75</v>
      </c>
      <c r="V9">
        <f ca="1">IFERROR(INDEX(Roll!$C:$C, MATCH(T9, Roll!$B:$B, 0)), "")</f>
        <v>3</v>
      </c>
      <c r="W9" t="str">
        <f t="shared" ref="W9" ca="1" si="9">IF(V9&lt;&gt;"",IFERROR(MODE(V8:V10), V8), "")</f>
        <v/>
      </c>
      <c r="X9" t="str">
        <f t="shared" ca="1" si="3"/>
        <v/>
      </c>
      <c r="Y9" t="str">
        <f t="shared" ca="1" si="4"/>
        <v/>
      </c>
      <c r="Z9" t="str">
        <f t="shared" ca="1" si="5"/>
        <v/>
      </c>
      <c r="AB9" t="str">
        <f ca="1"/>
        <v>Laura Wright</v>
      </c>
      <c r="AC9">
        <f ca="1"/>
        <v>76</v>
      </c>
      <c r="AE9" t="str">
        <f ca="1"/>
        <v/>
      </c>
      <c r="AF9">
        <f ca="1"/>
        <v>225</v>
      </c>
      <c r="AG9">
        <f ca="1"/>
        <v>4</v>
      </c>
      <c r="AH9">
        <f ca="1"/>
        <v>1</v>
      </c>
    </row>
    <row r="10" spans="1:34" x14ac:dyDescent="0.3">
      <c r="M10" t="str">
        <f ca="1"/>
        <v>Lang Lu</v>
      </c>
      <c r="N10">
        <f ca="1"/>
        <v>75</v>
      </c>
      <c r="O10">
        <f ca="1">IFERROR(INDEX(Roll!$C:$C, MATCH(M10, Roll!$B:$B, 0)), "")</f>
        <v>9</v>
      </c>
      <c r="P10">
        <f t="shared" ref="P10" ca="1" si="10">IF(O10&lt;&gt;"",IFERROR(MODE(O8:O10), O8), "")</f>
        <v>9</v>
      </c>
      <c r="Q10">
        <f t="shared" ca="1" si="0"/>
        <v>221</v>
      </c>
      <c r="R10">
        <f t="shared" ca="1" si="1"/>
        <v>-4</v>
      </c>
      <c r="S10">
        <f t="shared" ca="1" si="2"/>
        <v>0</v>
      </c>
      <c r="T10" t="str">
        <f ca="1"/>
        <v>Syme Aftab</v>
      </c>
      <c r="U10">
        <f ca="1"/>
        <v>77</v>
      </c>
      <c r="V10">
        <f ca="1">IFERROR(INDEX(Roll!$C:$C, MATCH(T10, Roll!$B:$B, 0)), "")</f>
        <v>8</v>
      </c>
      <c r="W10" t="str">
        <f t="shared" ref="W10" ca="1" si="11">IF(V10&lt;&gt;"",IFERROR(MODE(V8:V10), V8), "")</f>
        <v/>
      </c>
      <c r="X10">
        <f t="shared" ca="1" si="3"/>
        <v>225</v>
      </c>
      <c r="Y10">
        <f t="shared" ca="1" si="4"/>
        <v>4</v>
      </c>
      <c r="Z10">
        <f t="shared" ca="1" si="5"/>
        <v>1</v>
      </c>
      <c r="AB10" t="str">
        <f ca="1"/>
        <v>Roan Bird</v>
      </c>
      <c r="AC10">
        <f ca="1"/>
        <v>75</v>
      </c>
      <c r="AE10">
        <f ca="1"/>
        <v>2</v>
      </c>
      <c r="AF10">
        <f ca="1"/>
        <v>222</v>
      </c>
      <c r="AG10">
        <f ca="1"/>
        <v>-4</v>
      </c>
      <c r="AH10">
        <f ca="1"/>
        <v>0</v>
      </c>
    </row>
    <row r="11" spans="1:34" x14ac:dyDescent="0.3">
      <c r="F11" t="str" cm="1">
        <f t="array" aca="1" ref="F11" ca="1">IFERROR(_xlfn._xlws.FILTER(_xlfn.SORTBY('Round 1'!$BU:$CA, 'Round 1'!$CA:$CA, -1), ('Round 1'!$CA:$CA&lt;&gt;"")*('Round 1'!$BU:$BU&lt;&gt;"Negative")), "")</f>
        <v/>
      </c>
      <c r="M11" t="str">
        <f ca="1"/>
        <v>Sam Button</v>
      </c>
      <c r="N11">
        <f ca="1"/>
        <v>77</v>
      </c>
      <c r="O11">
        <f ca="1">IFERROR(INDEX(Roll!$C:$C, MATCH(M11, Roll!$B:$B, 0)), "")</f>
        <v>2</v>
      </c>
      <c r="P11">
        <f t="shared" ref="P11" ca="1" si="12">IF(O11&lt;&gt;"", IFERROR(MODE(O11:O13), O11), "")</f>
        <v>2</v>
      </c>
      <c r="Q11" t="str">
        <f t="shared" ca="1" si="0"/>
        <v/>
      </c>
      <c r="R11" t="str">
        <f t="shared" ca="1" si="1"/>
        <v/>
      </c>
      <c r="S11" t="str">
        <f t="shared" ca="1" si="2"/>
        <v/>
      </c>
      <c r="T11" t="str">
        <f ca="1"/>
        <v>Harry Elliott</v>
      </c>
      <c r="U11">
        <f ca="1"/>
        <v>75</v>
      </c>
      <c r="V11">
        <f ca="1">IFERROR(INDEX(Roll!$C:$C, MATCH(T11, Roll!$B:$B, 0)), "")</f>
        <v>2</v>
      </c>
      <c r="W11">
        <f t="shared" ref="W11" ca="1" si="13">IF(V11&lt;&gt;"", IFERROR(MODE(V11:V13), V11), "")</f>
        <v>2</v>
      </c>
      <c r="X11" t="str">
        <f t="shared" ca="1" si="3"/>
        <v/>
      </c>
      <c r="Y11" t="str">
        <f t="shared" ca="1" si="4"/>
        <v/>
      </c>
      <c r="Z11" t="str">
        <f t="shared" ca="1" si="5"/>
        <v/>
      </c>
      <c r="AB11" t="str">
        <f ca="1"/>
        <v>Ava Stewart</v>
      </c>
      <c r="AC11">
        <f ca="1"/>
        <v>75</v>
      </c>
      <c r="AE11">
        <f ca="1"/>
        <v>1</v>
      </c>
      <c r="AF11">
        <f ca="1"/>
        <v>221</v>
      </c>
      <c r="AG11">
        <f ca="1"/>
        <v>-1</v>
      </c>
      <c r="AH11">
        <f ca="1"/>
        <v>0</v>
      </c>
    </row>
    <row r="12" spans="1:34" x14ac:dyDescent="0.3">
      <c r="M12" t="str">
        <f ca="1"/>
        <v>Oliver Hooper</v>
      </c>
      <c r="N12">
        <f ca="1"/>
        <v>75</v>
      </c>
      <c r="O12">
        <f ca="1">IFERROR(INDEX(Roll!$C:$C, MATCH(M12, Roll!$B:$B, 0)), "")</f>
        <v>2</v>
      </c>
      <c r="P12">
        <f t="shared" ref="P12" ca="1" si="14">IF(O12&lt;&gt;"", IFERROR(MODE(O11:O13), O11), "")</f>
        <v>2</v>
      </c>
      <c r="Q12" t="str">
        <f t="shared" ca="1" si="0"/>
        <v/>
      </c>
      <c r="R12" t="str">
        <f t="shared" ca="1" si="1"/>
        <v/>
      </c>
      <c r="S12" t="str">
        <f t="shared" ca="1" si="2"/>
        <v/>
      </c>
      <c r="T12" t="str">
        <f ca="1"/>
        <v>Korou Tonjam</v>
      </c>
      <c r="U12">
        <f ca="1"/>
        <v>74</v>
      </c>
      <c r="V12">
        <f ca="1">IFERROR(INDEX(Roll!$C:$C, MATCH(T12, Roll!$B:$B, 0)), "")</f>
        <v>6</v>
      </c>
      <c r="W12">
        <f t="shared" ref="W12" ca="1" si="15">IF(V12&lt;&gt;"", IFERROR(MODE(V11:V13), V11), "")</f>
        <v>2</v>
      </c>
      <c r="X12" t="str">
        <f t="shared" ca="1" si="3"/>
        <v/>
      </c>
      <c r="Y12" t="str">
        <f t="shared" ca="1" si="4"/>
        <v/>
      </c>
      <c r="Z12" t="str">
        <f t="shared" ca="1" si="5"/>
        <v/>
      </c>
      <c r="AB12" t="str">
        <f ca="1"/>
        <v>Theodore Lysaght</v>
      </c>
      <c r="AC12">
        <f ca="1"/>
        <v>75</v>
      </c>
    </row>
    <row r="13" spans="1:34" x14ac:dyDescent="0.3">
      <c r="M13" t="str">
        <f ca="1"/>
        <v>Hugo Craig</v>
      </c>
      <c r="N13">
        <f ca="1"/>
        <v>74</v>
      </c>
      <c r="O13" t="str">
        <f ca="1">IFERROR(INDEX(Roll!$C:$C, MATCH(M13, Roll!$B:$B, 0)), "")</f>
        <v/>
      </c>
      <c r="P13" t="str">
        <f t="shared" ref="P13" ca="1" si="16">IF(O13&lt;&gt;"", IFERROR(MODE(O11:O13), O11), "")</f>
        <v/>
      </c>
      <c r="Q13">
        <f t="shared" ca="1" si="0"/>
        <v>226</v>
      </c>
      <c r="R13">
        <f t="shared" ca="1" si="1"/>
        <v>4</v>
      </c>
      <c r="S13">
        <f t="shared" ca="1" si="2"/>
        <v>1</v>
      </c>
      <c r="T13" t="str">
        <f ca="1"/>
        <v>Emily Lai</v>
      </c>
      <c r="U13">
        <f ca="1"/>
        <v>73</v>
      </c>
      <c r="V13">
        <f ca="1">IFERROR(INDEX(Roll!$C:$C, MATCH(T13, Roll!$B:$B, 0)), "")</f>
        <v>7</v>
      </c>
      <c r="W13">
        <f t="shared" ref="W13" ca="1" si="17">IF(V13&lt;&gt;"", IFERROR(MODE(V11:V13), V11), "")</f>
        <v>2</v>
      </c>
      <c r="X13">
        <f t="shared" ca="1" si="3"/>
        <v>222</v>
      </c>
      <c r="Y13">
        <f t="shared" ca="1" si="4"/>
        <v>-4</v>
      </c>
      <c r="Z13">
        <f t="shared" ca="1" si="5"/>
        <v>0</v>
      </c>
      <c r="AB13" t="str">
        <f ca="1"/>
        <v>Lang Lu</v>
      </c>
      <c r="AC13">
        <f ca="1"/>
        <v>75</v>
      </c>
    </row>
    <row r="14" spans="1:34" x14ac:dyDescent="0.3">
      <c r="M14" t="str">
        <f ca="1"/>
        <v>Aadi Malhorta</v>
      </c>
      <c r="N14">
        <f ca="1"/>
        <v>74</v>
      </c>
      <c r="O14">
        <f ca="1">IFERROR(INDEX(Roll!$C:$C, MATCH(M14, Roll!$B:$B, 0)), "")</f>
        <v>11</v>
      </c>
      <c r="P14">
        <f t="shared" ref="P14" ca="1" si="18">IF(O14&lt;&gt;"",IFERROR(MODE(O14:O16), O14), "")</f>
        <v>11</v>
      </c>
      <c r="Q14" t="str">
        <f t="shared" ca="1" si="0"/>
        <v/>
      </c>
      <c r="R14" t="str">
        <f t="shared" ca="1" si="1"/>
        <v/>
      </c>
      <c r="S14" t="str">
        <f t="shared" ca="1" si="2"/>
        <v/>
      </c>
      <c r="T14" t="str">
        <f ca="1"/>
        <v>Yifan Sun</v>
      </c>
      <c r="U14">
        <f ca="1"/>
        <v>75</v>
      </c>
      <c r="V14">
        <f ca="1">IFERROR(INDEX(Roll!$C:$C, MATCH(T14, Roll!$B:$B, 0)), "")</f>
        <v>1</v>
      </c>
      <c r="W14">
        <f t="shared" ref="W14" ca="1" si="19">IF(V14&lt;&gt;"",IFERROR(MODE(V14:V16), V14), "")</f>
        <v>1</v>
      </c>
      <c r="X14" t="str">
        <f t="shared" ca="1" si="3"/>
        <v/>
      </c>
      <c r="Y14" t="str">
        <f t="shared" ca="1" si="4"/>
        <v/>
      </c>
      <c r="Z14" t="str">
        <f t="shared" ca="1" si="5"/>
        <v/>
      </c>
      <c r="AB14" t="str">
        <f ca="1"/>
        <v>Oliver Hooper</v>
      </c>
      <c r="AC14">
        <f ca="1"/>
        <v>75</v>
      </c>
    </row>
    <row r="15" spans="1:34" x14ac:dyDescent="0.3">
      <c r="M15" t="str">
        <f ca="1"/>
        <v>Michael Deng</v>
      </c>
      <c r="N15">
        <f ca="1"/>
        <v>74</v>
      </c>
      <c r="O15">
        <f ca="1">IFERROR(INDEX(Roll!$C:$C, MATCH(M15, Roll!$B:$B, 0)), "")</f>
        <v>11</v>
      </c>
      <c r="P15">
        <f t="shared" ref="P15" ca="1" si="20">IF(O15&lt;&gt;"",IFERROR(MODE(O14:O16), O14), "")</f>
        <v>11</v>
      </c>
      <c r="Q15" t="str">
        <f t="shared" ca="1" si="0"/>
        <v/>
      </c>
      <c r="R15" t="str">
        <f t="shared" ca="1" si="1"/>
        <v/>
      </c>
      <c r="S15" t="str">
        <f t="shared" ca="1" si="2"/>
        <v/>
      </c>
      <c r="T15" t="str">
        <f ca="1"/>
        <v>Shengyin Bai</v>
      </c>
      <c r="U15">
        <f ca="1"/>
        <v>74</v>
      </c>
      <c r="V15">
        <f ca="1">IFERROR(INDEX(Roll!$C:$C, MATCH(T15, Roll!$B:$B, 0)), "")</f>
        <v>1</v>
      </c>
      <c r="W15">
        <f t="shared" ref="W15" ca="1" si="21">IF(V15&lt;&gt;"",IFERROR(MODE(V14:V16), V14), "")</f>
        <v>1</v>
      </c>
      <c r="X15" t="str">
        <f t="shared" ca="1" si="3"/>
        <v/>
      </c>
      <c r="Y15" t="str">
        <f t="shared" ca="1" si="4"/>
        <v/>
      </c>
      <c r="Z15" t="str">
        <f t="shared" ca="1" si="5"/>
        <v/>
      </c>
      <c r="AB15" t="str">
        <f ca="1"/>
        <v>Amy Zander</v>
      </c>
      <c r="AC15">
        <f ca="1"/>
        <v>75</v>
      </c>
    </row>
    <row r="16" spans="1:34" x14ac:dyDescent="0.3">
      <c r="M16" t="str">
        <f ca="1"/>
        <v>Kerry Yao</v>
      </c>
      <c r="N16">
        <f ca="1"/>
        <v>74</v>
      </c>
      <c r="O16">
        <f ca="1">IFERROR(INDEX(Roll!$C:$C, MATCH(M16, Roll!$B:$B, 0)), "")</f>
        <v>11</v>
      </c>
      <c r="P16">
        <f t="shared" ref="P16" ca="1" si="22">IF(O16&lt;&gt;"",IFERROR(MODE(O14:O16), O14), "")</f>
        <v>11</v>
      </c>
      <c r="Q16">
        <f t="shared" ca="1" si="0"/>
        <v>222</v>
      </c>
      <c r="R16">
        <f t="shared" ca="1" si="1"/>
        <v>1</v>
      </c>
      <c r="S16">
        <f t="shared" ca="1" si="2"/>
        <v>1</v>
      </c>
      <c r="T16" t="str">
        <f ca="1"/>
        <v>Chengdong Wu</v>
      </c>
      <c r="U16">
        <f ca="1"/>
        <v>72</v>
      </c>
      <c r="V16">
        <f ca="1">IFERROR(INDEX(Roll!$C:$C, MATCH(T16, Roll!$B:$B, 0)), "")</f>
        <v>1</v>
      </c>
      <c r="W16">
        <f t="shared" ref="W16" ca="1" si="23">IF(V16&lt;&gt;"",IFERROR(MODE(V14:V16), V14), "")</f>
        <v>1</v>
      </c>
      <c r="X16">
        <f t="shared" ca="1" si="3"/>
        <v>221</v>
      </c>
      <c r="Y16">
        <f t="shared" ca="1" si="4"/>
        <v>-1</v>
      </c>
      <c r="Z16">
        <f t="shared" ca="1" si="5"/>
        <v>0</v>
      </c>
      <c r="AB16" t="str">
        <f ca="1"/>
        <v>Harry Elliott</v>
      </c>
      <c r="AC16">
        <f ca="1"/>
        <v>75</v>
      </c>
    </row>
    <row r="17" spans="15:29" x14ac:dyDescent="0.3">
      <c r="O17" t="str">
        <f ca="1">IFERROR(INDEX(Roll!$C:$C, MATCH(M17, Roll!$B:$B, 0)), "")</f>
        <v/>
      </c>
      <c r="P17" t="str">
        <f t="shared" ref="P17" ca="1" si="24">IF(O17&lt;&gt;"", IFERROR(MODE(O17:O19), O17), "")</f>
        <v/>
      </c>
      <c r="Q17" t="str">
        <f t="shared" ca="1" si="0"/>
        <v/>
      </c>
      <c r="R17" t="str">
        <f t="shared" ca="1" si="1"/>
        <v/>
      </c>
      <c r="S17" t="str">
        <f t="shared" ca="1" si="2"/>
        <v/>
      </c>
      <c r="V17" t="str">
        <f ca="1">IFERROR(INDEX(Roll!$C:$C, MATCH(T17, Roll!$B:$B, 0)), "")</f>
        <v/>
      </c>
      <c r="W17" t="str">
        <f t="shared" ref="W17" ca="1" si="25">IF(V17&lt;&gt;"", IFERROR(MODE(V17:V19), V17), "")</f>
        <v/>
      </c>
      <c r="X17" t="str">
        <f t="shared" ca="1" si="3"/>
        <v/>
      </c>
      <c r="Y17" t="str">
        <f t="shared" ca="1" si="4"/>
        <v/>
      </c>
      <c r="Z17" t="str">
        <f t="shared" ca="1" si="5"/>
        <v/>
      </c>
      <c r="AB17" t="str">
        <f ca="1"/>
        <v>Yifan Sun</v>
      </c>
      <c r="AC17">
        <f ca="1"/>
        <v>75</v>
      </c>
    </row>
    <row r="18" spans="15:29" x14ac:dyDescent="0.3">
      <c r="O18" t="str">
        <f ca="1">IFERROR(INDEX(Roll!$C:$C, MATCH(M18, Roll!$B:$B, 0)), "")</f>
        <v/>
      </c>
      <c r="P18" t="str">
        <f t="shared" ref="P18" ca="1" si="26">IF(O18&lt;&gt;"", IFERROR(MODE(O17:O19), O17), "")</f>
        <v/>
      </c>
      <c r="Q18" t="str">
        <f t="shared" ca="1" si="0"/>
        <v/>
      </c>
      <c r="R18" t="str">
        <f t="shared" ca="1" si="1"/>
        <v/>
      </c>
      <c r="S18" t="str">
        <f t="shared" ca="1" si="2"/>
        <v/>
      </c>
      <c r="V18" t="str">
        <f ca="1">IFERROR(INDEX(Roll!$C:$C, MATCH(T18, Roll!$B:$B, 0)), "")</f>
        <v/>
      </c>
      <c r="W18" t="str">
        <f t="shared" ref="W18" ca="1" si="27">IF(V18&lt;&gt;"", IFERROR(MODE(V17:V19), V17), "")</f>
        <v/>
      </c>
      <c r="X18" t="str">
        <f t="shared" ca="1" si="3"/>
        <v/>
      </c>
      <c r="Y18" t="str">
        <f t="shared" ca="1" si="4"/>
        <v/>
      </c>
      <c r="Z18" t="str">
        <f t="shared" ca="1" si="5"/>
        <v/>
      </c>
      <c r="AB18" t="str">
        <f ca="1"/>
        <v>Eliza Rayner</v>
      </c>
      <c r="AC18">
        <f ca="1"/>
        <v>74</v>
      </c>
    </row>
    <row r="19" spans="15:29" x14ac:dyDescent="0.3">
      <c r="O19" t="str">
        <f ca="1">IFERROR(INDEX(Roll!$C:$C, MATCH(M19, Roll!$B:$B, 0)), "")</f>
        <v/>
      </c>
      <c r="P19" t="str">
        <f t="shared" ref="P19" ca="1" si="28">IF(O19&lt;&gt;"", IFERROR(MODE(O17:O19), O17), "")</f>
        <v/>
      </c>
      <c r="Q19" t="str">
        <f t="shared" si="0"/>
        <v/>
      </c>
      <c r="R19" t="str">
        <f t="shared" si="1"/>
        <v/>
      </c>
      <c r="S19" t="str">
        <f t="shared" si="2"/>
        <v/>
      </c>
      <c r="V19" t="str">
        <f ca="1">IFERROR(INDEX(Roll!$C:$C, MATCH(T19, Roll!$B:$B, 0)), "")</f>
        <v/>
      </c>
      <c r="W19" t="str">
        <f t="shared" ref="W19" ca="1" si="29">IF(V19&lt;&gt;"", IFERROR(MODE(V17:V19), V17), "")</f>
        <v/>
      </c>
      <c r="X19" t="str">
        <f t="shared" si="3"/>
        <v/>
      </c>
      <c r="Y19" t="str">
        <f t="shared" si="4"/>
        <v/>
      </c>
      <c r="Z19" t="str">
        <f t="shared" si="5"/>
        <v/>
      </c>
      <c r="AB19" t="str">
        <f ca="1"/>
        <v>Max Stewart</v>
      </c>
      <c r="AC19">
        <f ca="1"/>
        <v>74</v>
      </c>
    </row>
    <row r="20" spans="15:29" x14ac:dyDescent="0.3">
      <c r="O20" t="str">
        <f ca="1">IFERROR(INDEX(Roll!$C:$C, MATCH(M20, Roll!$B:$B, 0)), "")</f>
        <v/>
      </c>
      <c r="P20" t="str">
        <f t="shared" ref="P20" ca="1" si="30">IF(O20&lt;&gt;"",IFERROR(MODE(O20:O22), O20), "")</f>
        <v/>
      </c>
      <c r="Q20" t="str">
        <f t="shared" si="0"/>
        <v/>
      </c>
      <c r="R20" t="str">
        <f t="shared" si="1"/>
        <v/>
      </c>
      <c r="S20" t="str">
        <f t="shared" si="2"/>
        <v/>
      </c>
      <c r="V20" t="str">
        <f ca="1">IFERROR(INDEX(Roll!$C:$C, MATCH(T20, Roll!$B:$B, 0)), "")</f>
        <v/>
      </c>
      <c r="W20" t="str">
        <f t="shared" ref="W20:W56" ca="1" si="31">IF(V20&lt;&gt;"",IFERROR(MODE(V20:V22), V20), "")</f>
        <v/>
      </c>
      <c r="X20" t="str">
        <f t="shared" si="3"/>
        <v/>
      </c>
      <c r="Y20" t="str">
        <f t="shared" si="4"/>
        <v/>
      </c>
      <c r="Z20" t="str">
        <f t="shared" si="5"/>
        <v/>
      </c>
      <c r="AB20" t="str">
        <f ca="1"/>
        <v>Declan Clarke</v>
      </c>
      <c r="AC20">
        <f ca="1"/>
        <v>74</v>
      </c>
    </row>
    <row r="21" spans="15:29" x14ac:dyDescent="0.3">
      <c r="O21" t="str">
        <f ca="1">IFERROR(INDEX(Roll!$C:$C, MATCH(M21, Roll!$B:$B, 0)), "")</f>
        <v/>
      </c>
      <c r="P21" t="str">
        <f t="shared" ref="P21" ca="1" si="32">IF(O21&lt;&gt;"",IFERROR(MODE(O20:O22), O20), "")</f>
        <v/>
      </c>
      <c r="Q21" t="str">
        <f t="shared" si="0"/>
        <v/>
      </c>
      <c r="R21" t="str">
        <f t="shared" si="1"/>
        <v/>
      </c>
      <c r="S21" t="str">
        <f t="shared" si="2"/>
        <v/>
      </c>
      <c r="V21" t="str">
        <f ca="1">IFERROR(INDEX(Roll!$C:$C, MATCH(T21, Roll!$B:$B, 0)), "")</f>
        <v/>
      </c>
      <c r="W21" t="str">
        <f t="shared" ref="W21:W57" ca="1" si="33">IF(V21&lt;&gt;"",IFERROR(MODE(V20:V22), V20), "")</f>
        <v/>
      </c>
      <c r="X21" t="str">
        <f t="shared" si="3"/>
        <v/>
      </c>
      <c r="Y21" t="str">
        <f t="shared" si="4"/>
        <v/>
      </c>
      <c r="Z21" t="str">
        <f t="shared" si="5"/>
        <v/>
      </c>
      <c r="AB21" t="str">
        <f ca="1"/>
        <v>Hugo Craig</v>
      </c>
      <c r="AC21">
        <f ca="1"/>
        <v>74</v>
      </c>
    </row>
    <row r="22" spans="15:29" x14ac:dyDescent="0.3">
      <c r="O22" t="str">
        <f ca="1">IFERROR(INDEX(Roll!$C:$C, MATCH(M22, Roll!$B:$B, 0)), "")</f>
        <v/>
      </c>
      <c r="P22" t="str">
        <f t="shared" ref="P22" ca="1" si="34">IF(O22&lt;&gt;"",IFERROR(MODE(O20:O22), O20), "")</f>
        <v/>
      </c>
      <c r="Q22" t="str">
        <f t="shared" si="0"/>
        <v/>
      </c>
      <c r="R22" t="str">
        <f t="shared" si="1"/>
        <v/>
      </c>
      <c r="S22" t="str">
        <f t="shared" si="2"/>
        <v/>
      </c>
      <c r="V22" t="str">
        <f ca="1">IFERROR(INDEX(Roll!$C:$C, MATCH(T22, Roll!$B:$B, 0)), "")</f>
        <v/>
      </c>
      <c r="W22" t="str">
        <f t="shared" ref="W22:W58" ca="1" si="35">IF(V22&lt;&gt;"",IFERROR(MODE(V20:V22), V20), "")</f>
        <v/>
      </c>
      <c r="X22" t="str">
        <f t="shared" si="3"/>
        <v/>
      </c>
      <c r="Y22" t="str">
        <f t="shared" si="4"/>
        <v/>
      </c>
      <c r="Z22" t="str">
        <f t="shared" si="5"/>
        <v/>
      </c>
      <c r="AB22" t="str">
        <f ca="1"/>
        <v>Korou Tonjam</v>
      </c>
      <c r="AC22">
        <f ca="1"/>
        <v>74</v>
      </c>
    </row>
    <row r="23" spans="15:29" x14ac:dyDescent="0.3">
      <c r="O23" t="str">
        <f ca="1">IFERROR(INDEX(Roll!$C:$C, MATCH(M23, Roll!$B:$B, 0)), "")</f>
        <v/>
      </c>
      <c r="P23" t="str">
        <f t="shared" ref="P23" ca="1" si="36">IF(O23&lt;&gt;"", IFERROR(MODE(O23:O25), O23), "")</f>
        <v/>
      </c>
      <c r="Q23" t="str">
        <f t="shared" si="0"/>
        <v/>
      </c>
      <c r="R23" t="str">
        <f t="shared" si="1"/>
        <v/>
      </c>
      <c r="S23" t="str">
        <f t="shared" si="2"/>
        <v/>
      </c>
      <c r="V23" t="str">
        <f ca="1">IFERROR(INDEX(Roll!$C:$C, MATCH(T23, Roll!$B:$B, 0)), "")</f>
        <v/>
      </c>
      <c r="W23" t="str">
        <f t="shared" ref="W23:W59" ca="1" si="37">IF(V23&lt;&gt;"", IFERROR(MODE(V23:V25), V23), "")</f>
        <v/>
      </c>
      <c r="X23" t="str">
        <f t="shared" si="3"/>
        <v/>
      </c>
      <c r="Y23" t="str">
        <f t="shared" si="4"/>
        <v/>
      </c>
      <c r="Z23" t="str">
        <f t="shared" si="5"/>
        <v/>
      </c>
      <c r="AB23" t="str">
        <f ca="1"/>
        <v>Aadi Malhorta</v>
      </c>
      <c r="AC23">
        <f ca="1"/>
        <v>74</v>
      </c>
    </row>
    <row r="24" spans="15:29" x14ac:dyDescent="0.3">
      <c r="O24" t="str">
        <f ca="1">IFERROR(INDEX(Roll!$C:$C, MATCH(M24, Roll!$B:$B, 0)), "")</f>
        <v/>
      </c>
      <c r="P24" t="str">
        <f t="shared" ref="P24" ca="1" si="38">IF(O24&lt;&gt;"", IFERROR(MODE(O23:O25), O23), "")</f>
        <v/>
      </c>
      <c r="Q24" t="str">
        <f t="shared" si="0"/>
        <v/>
      </c>
      <c r="R24" t="str">
        <f t="shared" si="1"/>
        <v/>
      </c>
      <c r="S24" t="str">
        <f t="shared" si="2"/>
        <v/>
      </c>
      <c r="V24" t="str">
        <f ca="1">IFERROR(INDEX(Roll!$C:$C, MATCH(T24, Roll!$B:$B, 0)), "")</f>
        <v/>
      </c>
      <c r="W24" t="str">
        <f t="shared" ref="W24:W60" ca="1" si="39">IF(V24&lt;&gt;"", IFERROR(MODE(V23:V25), V23), "")</f>
        <v/>
      </c>
      <c r="X24" t="str">
        <f t="shared" si="3"/>
        <v/>
      </c>
      <c r="Y24" t="str">
        <f t="shared" si="4"/>
        <v/>
      </c>
      <c r="Z24" t="str">
        <f t="shared" si="5"/>
        <v/>
      </c>
      <c r="AB24" t="str">
        <f ca="1"/>
        <v>Michael Deng</v>
      </c>
      <c r="AC24">
        <f ca="1"/>
        <v>74</v>
      </c>
    </row>
    <row r="25" spans="15:29" x14ac:dyDescent="0.3">
      <c r="O25" t="str">
        <f ca="1">IFERROR(INDEX(Roll!$C:$C, MATCH(M25, Roll!$B:$B, 0)), "")</f>
        <v/>
      </c>
      <c r="P25" t="str">
        <f t="shared" ref="P25" ca="1" si="40">IF(O25&lt;&gt;"", IFERROR(MODE(O23:O25), O23), "")</f>
        <v/>
      </c>
      <c r="Q25" t="str">
        <f t="shared" si="0"/>
        <v/>
      </c>
      <c r="R25" t="str">
        <f t="shared" si="1"/>
        <v/>
      </c>
      <c r="S25" t="str">
        <f t="shared" si="2"/>
        <v/>
      </c>
      <c r="V25" t="str">
        <f ca="1">IFERROR(INDEX(Roll!$C:$C, MATCH(T25, Roll!$B:$B, 0)), "")</f>
        <v/>
      </c>
      <c r="W25" t="str">
        <f t="shared" ref="W25:W49" ca="1" si="41">IF(V25&lt;&gt;"", IFERROR(MODE(V23:V25), V23), "")</f>
        <v/>
      </c>
      <c r="X25" t="str">
        <f t="shared" si="3"/>
        <v/>
      </c>
      <c r="Y25" t="str">
        <f t="shared" si="4"/>
        <v/>
      </c>
      <c r="Z25" t="str">
        <f t="shared" si="5"/>
        <v/>
      </c>
      <c r="AB25" t="str">
        <f ca="1"/>
        <v>Kerry Yao</v>
      </c>
      <c r="AC25">
        <f ca="1"/>
        <v>74</v>
      </c>
    </row>
    <row r="26" spans="15:29" x14ac:dyDescent="0.3">
      <c r="O26" t="str">
        <f ca="1">IFERROR(INDEX(Roll!$C:$C, MATCH(M26, Roll!$B:$B, 0)), "")</f>
        <v/>
      </c>
      <c r="P26" t="str">
        <f t="shared" ref="P26" ca="1" si="42">IF(O26&lt;&gt;"",IFERROR(MODE(O26:O28), O26), "")</f>
        <v/>
      </c>
      <c r="Q26" t="str">
        <f t="shared" si="0"/>
        <v/>
      </c>
      <c r="R26" t="str">
        <f t="shared" si="1"/>
        <v/>
      </c>
      <c r="S26" t="str">
        <f t="shared" si="2"/>
        <v/>
      </c>
      <c r="V26" t="str">
        <f ca="1">IFERROR(INDEX(Roll!$C:$C, MATCH(T26, Roll!$B:$B, 0)), "")</f>
        <v/>
      </c>
      <c r="W26" t="str">
        <f t="shared" ref="W26" ca="1" si="43">IF(V26&lt;&gt;"",IFERROR(MODE(V26:V28), V26), "")</f>
        <v/>
      </c>
      <c r="X26" t="str">
        <f t="shared" si="3"/>
        <v/>
      </c>
      <c r="Y26" t="str">
        <f t="shared" si="4"/>
        <v/>
      </c>
      <c r="Z26" t="str">
        <f t="shared" si="5"/>
        <v/>
      </c>
      <c r="AB26" t="str">
        <f ca="1"/>
        <v>Shengyin Bai</v>
      </c>
      <c r="AC26">
        <f ca="1"/>
        <v>74</v>
      </c>
    </row>
    <row r="27" spans="15:29" x14ac:dyDescent="0.3">
      <c r="O27" t="str">
        <f ca="1">IFERROR(INDEX(Roll!$C:$C, MATCH(M27, Roll!$B:$B, 0)), "")</f>
        <v/>
      </c>
      <c r="P27" t="str">
        <f t="shared" ref="P27" ca="1" si="44">IF(O27&lt;&gt;"",IFERROR(MODE(O26:O28), O26), "")</f>
        <v/>
      </c>
      <c r="Q27" t="str">
        <f t="shared" si="0"/>
        <v/>
      </c>
      <c r="R27" t="str">
        <f t="shared" si="1"/>
        <v/>
      </c>
      <c r="S27" t="str">
        <f t="shared" si="2"/>
        <v/>
      </c>
      <c r="V27" t="str">
        <f ca="1">IFERROR(INDEX(Roll!$C:$C, MATCH(T27, Roll!$B:$B, 0)), "")</f>
        <v/>
      </c>
      <c r="W27" t="str">
        <f t="shared" ref="W27" ca="1" si="45">IF(V27&lt;&gt;"",IFERROR(MODE(V26:V28), V26), "")</f>
        <v/>
      </c>
      <c r="X27" t="str">
        <f t="shared" si="3"/>
        <v/>
      </c>
      <c r="Y27" t="str">
        <f t="shared" si="4"/>
        <v/>
      </c>
      <c r="Z27" t="str">
        <f t="shared" si="5"/>
        <v/>
      </c>
      <c r="AB27" t="str">
        <f ca="1"/>
        <v>Sai Ragav.</v>
      </c>
      <c r="AC27">
        <f ca="1"/>
        <v>73</v>
      </c>
    </row>
    <row r="28" spans="15:29" x14ac:dyDescent="0.3">
      <c r="O28" t="str">
        <f ca="1">IFERROR(INDEX(Roll!$C:$C, MATCH(M28, Roll!$B:$B, 0)), "")</f>
        <v/>
      </c>
      <c r="P28" t="str">
        <f t="shared" ref="P28" ca="1" si="46">IF(O28&lt;&gt;"",IFERROR(MODE(O26:O28), O26), "")</f>
        <v/>
      </c>
      <c r="Q28" t="str">
        <f t="shared" si="0"/>
        <v/>
      </c>
      <c r="R28" t="str">
        <f t="shared" si="1"/>
        <v/>
      </c>
      <c r="S28" t="str">
        <f t="shared" si="2"/>
        <v/>
      </c>
      <c r="V28" t="str">
        <f ca="1">IFERROR(INDEX(Roll!$C:$C, MATCH(T28, Roll!$B:$B, 0)), "")</f>
        <v/>
      </c>
      <c r="W28" t="str">
        <f t="shared" ref="W28" ca="1" si="47">IF(V28&lt;&gt;"",IFERROR(MODE(V26:V28), V26), "")</f>
        <v/>
      </c>
      <c r="X28" t="str">
        <f t="shared" si="3"/>
        <v/>
      </c>
      <c r="Y28" t="str">
        <f t="shared" si="4"/>
        <v/>
      </c>
      <c r="Z28" t="str">
        <f t="shared" si="5"/>
        <v/>
      </c>
      <c r="AB28" t="str">
        <f ca="1"/>
        <v>Minh Hieu Tran</v>
      </c>
      <c r="AC28">
        <f ca="1"/>
        <v>73</v>
      </c>
    </row>
    <row r="29" spans="15:29" x14ac:dyDescent="0.3">
      <c r="O29" t="str">
        <f ca="1">IFERROR(INDEX(Roll!$C:$C, MATCH(M29, Roll!$B:$B, 0)), "")</f>
        <v/>
      </c>
      <c r="P29" t="str">
        <f t="shared" ref="P29" ca="1" si="48">IF(O29&lt;&gt;"", IFERROR(MODE(O29:O31), O29), "")</f>
        <v/>
      </c>
      <c r="Q29" t="str">
        <f t="shared" si="0"/>
        <v/>
      </c>
      <c r="R29" t="str">
        <f t="shared" si="1"/>
        <v/>
      </c>
      <c r="S29" t="str">
        <f t="shared" si="2"/>
        <v/>
      </c>
      <c r="V29" t="str">
        <f ca="1">IFERROR(INDEX(Roll!$C:$C, MATCH(T29, Roll!$B:$B, 0)), "")</f>
        <v/>
      </c>
      <c r="W29" t="str">
        <f t="shared" ref="W29" ca="1" si="49">IF(V29&lt;&gt;"", IFERROR(MODE(V29:V31), V29), "")</f>
        <v/>
      </c>
      <c r="X29" t="str">
        <f t="shared" si="3"/>
        <v/>
      </c>
      <c r="Y29" t="str">
        <f t="shared" si="4"/>
        <v/>
      </c>
      <c r="Z29" t="str">
        <f t="shared" si="5"/>
        <v/>
      </c>
      <c r="AB29" t="str">
        <f ca="1"/>
        <v>Emily Lai</v>
      </c>
      <c r="AC29">
        <f ca="1"/>
        <v>73</v>
      </c>
    </row>
    <row r="30" spans="15:29" x14ac:dyDescent="0.3">
      <c r="O30" t="str">
        <f ca="1">IFERROR(INDEX(Roll!$C:$C, MATCH(M30, Roll!$B:$B, 0)), "")</f>
        <v/>
      </c>
      <c r="P30" t="str">
        <f t="shared" ref="P30" ca="1" si="50">IF(O30&lt;&gt;"", IFERROR(MODE(O29:O31), O29), "")</f>
        <v/>
      </c>
      <c r="Q30" t="str">
        <f t="shared" si="0"/>
        <v/>
      </c>
      <c r="R30" t="str">
        <f t="shared" si="1"/>
        <v/>
      </c>
      <c r="S30" t="str">
        <f t="shared" si="2"/>
        <v/>
      </c>
      <c r="V30" t="str">
        <f ca="1">IFERROR(INDEX(Roll!$C:$C, MATCH(T30, Roll!$B:$B, 0)), "")</f>
        <v/>
      </c>
      <c r="W30" t="str">
        <f t="shared" ref="W30" ca="1" si="51">IF(V30&lt;&gt;"", IFERROR(MODE(V29:V31), V29), "")</f>
        <v/>
      </c>
      <c r="X30" t="str">
        <f t="shared" si="3"/>
        <v/>
      </c>
      <c r="Y30" t="str">
        <f t="shared" si="4"/>
        <v/>
      </c>
      <c r="Z30" t="str">
        <f t="shared" si="5"/>
        <v/>
      </c>
      <c r="AB30" t="str">
        <f ca="1"/>
        <v>Aaryan Goriyaan</v>
      </c>
      <c r="AC30">
        <f ca="1"/>
        <v>72</v>
      </c>
    </row>
    <row r="31" spans="15:29" x14ac:dyDescent="0.3">
      <c r="O31" t="str">
        <f ca="1">IFERROR(INDEX(Roll!$C:$C, MATCH(M31, Roll!$B:$B, 0)), "")</f>
        <v/>
      </c>
      <c r="P31" t="str">
        <f t="shared" ref="P31" ca="1" si="52">IF(O31&lt;&gt;"", IFERROR(MODE(O29:O31), O29), "")</f>
        <v/>
      </c>
      <c r="Q31" t="str">
        <f t="shared" si="0"/>
        <v/>
      </c>
      <c r="R31" t="str">
        <f t="shared" si="1"/>
        <v/>
      </c>
      <c r="S31" t="str">
        <f t="shared" si="2"/>
        <v/>
      </c>
      <c r="V31" t="str">
        <f ca="1">IFERROR(INDEX(Roll!$C:$C, MATCH(T31, Roll!$B:$B, 0)), "")</f>
        <v/>
      </c>
      <c r="W31" t="str">
        <f t="shared" ref="W31" ca="1" si="53">IF(V31&lt;&gt;"", IFERROR(MODE(V29:V31), V29), "")</f>
        <v/>
      </c>
      <c r="X31" t="str">
        <f t="shared" si="3"/>
        <v/>
      </c>
      <c r="Y31" t="str">
        <f t="shared" si="4"/>
        <v/>
      </c>
      <c r="Z31" t="str">
        <f t="shared" si="5"/>
        <v/>
      </c>
      <c r="AB31" t="str">
        <f ca="1"/>
        <v>Chengdong Wu</v>
      </c>
      <c r="AC31">
        <f ca="1"/>
        <v>72</v>
      </c>
    </row>
    <row r="32" spans="15:29" x14ac:dyDescent="0.3">
      <c r="O32" t="str">
        <f ca="1">IFERROR(INDEX(Roll!$C:$C, MATCH(M32, Roll!$B:$B, 0)), "")</f>
        <v/>
      </c>
      <c r="P32" t="str">
        <f t="shared" ref="P32" ca="1" si="54">IF(O32&lt;&gt;"",IFERROR(MODE(O32:O34), O32), "")</f>
        <v/>
      </c>
      <c r="Q32" t="str">
        <f t="shared" si="0"/>
        <v/>
      </c>
      <c r="R32" t="str">
        <f t="shared" si="1"/>
        <v/>
      </c>
      <c r="S32" t="str">
        <f t="shared" si="2"/>
        <v/>
      </c>
      <c r="V32" t="str">
        <f ca="1">IFERROR(INDEX(Roll!$C:$C, MATCH(T32, Roll!$B:$B, 0)), "")</f>
        <v/>
      </c>
      <c r="W32" t="str">
        <f t="shared" ca="1" si="31"/>
        <v/>
      </c>
      <c r="X32" t="str">
        <f t="shared" si="3"/>
        <v/>
      </c>
      <c r="Y32" t="str">
        <f t="shared" si="4"/>
        <v/>
      </c>
      <c r="Z32" t="str">
        <f t="shared" si="5"/>
        <v/>
      </c>
    </row>
    <row r="33" spans="15:26" x14ac:dyDescent="0.3">
      <c r="O33" t="str">
        <f ca="1">IFERROR(INDEX(Roll!$C:$C, MATCH(M33, Roll!$B:$B, 0)), "")</f>
        <v/>
      </c>
      <c r="P33" t="str">
        <f t="shared" ref="P33" ca="1" si="55">IF(O33&lt;&gt;"",IFERROR(MODE(O32:O34), O32), "")</f>
        <v/>
      </c>
      <c r="Q33" t="str">
        <f t="shared" si="0"/>
        <v/>
      </c>
      <c r="R33" t="str">
        <f t="shared" si="1"/>
        <v/>
      </c>
      <c r="S33" t="str">
        <f t="shared" si="2"/>
        <v/>
      </c>
      <c r="V33" t="str">
        <f ca="1">IFERROR(INDEX(Roll!$C:$C, MATCH(T33, Roll!$B:$B, 0)), "")</f>
        <v/>
      </c>
      <c r="W33" t="str">
        <f t="shared" ca="1" si="33"/>
        <v/>
      </c>
      <c r="X33" t="str">
        <f t="shared" si="3"/>
        <v/>
      </c>
      <c r="Y33" t="str">
        <f t="shared" si="4"/>
        <v/>
      </c>
      <c r="Z33" t="str">
        <f t="shared" si="5"/>
        <v/>
      </c>
    </row>
    <row r="34" spans="15:26" x14ac:dyDescent="0.3">
      <c r="O34" t="str">
        <f ca="1">IFERROR(INDEX(Roll!$C:$C, MATCH(M34, Roll!$B:$B, 0)), "")</f>
        <v/>
      </c>
      <c r="P34" t="str">
        <f t="shared" ref="P34" ca="1" si="56">IF(O34&lt;&gt;"",IFERROR(MODE(O32:O34), O32), "")</f>
        <v/>
      </c>
      <c r="Q34" t="str">
        <f t="shared" si="0"/>
        <v/>
      </c>
      <c r="R34" t="str">
        <f t="shared" si="1"/>
        <v/>
      </c>
      <c r="S34" t="str">
        <f t="shared" si="2"/>
        <v/>
      </c>
      <c r="V34" t="str">
        <f ca="1">IFERROR(INDEX(Roll!$C:$C, MATCH(T34, Roll!$B:$B, 0)), "")</f>
        <v/>
      </c>
      <c r="W34" t="str">
        <f t="shared" ca="1" si="35"/>
        <v/>
      </c>
      <c r="X34" t="str">
        <f t="shared" si="3"/>
        <v/>
      </c>
      <c r="Y34" t="str">
        <f t="shared" si="4"/>
        <v/>
      </c>
      <c r="Z34" t="str">
        <f t="shared" si="5"/>
        <v/>
      </c>
    </row>
    <row r="35" spans="15:26" x14ac:dyDescent="0.3">
      <c r="O35" t="str">
        <f ca="1">IFERROR(INDEX(Roll!$C:$C, MATCH(M35, Roll!$B:$B, 0)), "")</f>
        <v/>
      </c>
      <c r="P35" t="str">
        <f t="shared" ref="P35" ca="1" si="57">IF(O35&lt;&gt;"", IFERROR(MODE(O35:O37), O35), "")</f>
        <v/>
      </c>
      <c r="Q35" t="str">
        <f t="shared" si="0"/>
        <v/>
      </c>
      <c r="R35" t="str">
        <f t="shared" si="1"/>
        <v/>
      </c>
      <c r="S35" t="str">
        <f t="shared" si="2"/>
        <v/>
      </c>
      <c r="V35" t="str">
        <f ca="1">IFERROR(INDEX(Roll!$C:$C, MATCH(T35, Roll!$B:$B, 0)), "")</f>
        <v/>
      </c>
      <c r="W35" t="str">
        <f t="shared" ca="1" si="37"/>
        <v/>
      </c>
      <c r="X35" t="str">
        <f t="shared" si="3"/>
        <v/>
      </c>
      <c r="Y35" t="str">
        <f t="shared" si="4"/>
        <v/>
      </c>
      <c r="Z35" t="str">
        <f t="shared" si="5"/>
        <v/>
      </c>
    </row>
    <row r="36" spans="15:26" x14ac:dyDescent="0.3">
      <c r="O36" t="str">
        <f ca="1">IFERROR(INDEX(Roll!$C:$C, MATCH(M36, Roll!$B:$B, 0)), "")</f>
        <v/>
      </c>
      <c r="P36" t="str">
        <f t="shared" ref="P36" ca="1" si="58">IF(O36&lt;&gt;"", IFERROR(MODE(O35:O37), O35), "")</f>
        <v/>
      </c>
      <c r="Q36" t="str">
        <f t="shared" si="0"/>
        <v/>
      </c>
      <c r="R36" t="str">
        <f t="shared" si="1"/>
        <v/>
      </c>
      <c r="S36" t="str">
        <f t="shared" si="2"/>
        <v/>
      </c>
      <c r="V36" t="str">
        <f ca="1">IFERROR(INDEX(Roll!$C:$C, MATCH(T36, Roll!$B:$B, 0)), "")</f>
        <v/>
      </c>
      <c r="W36" t="str">
        <f t="shared" ca="1" si="39"/>
        <v/>
      </c>
      <c r="X36" t="str">
        <f t="shared" si="3"/>
        <v/>
      </c>
      <c r="Y36" t="str">
        <f t="shared" si="4"/>
        <v/>
      </c>
      <c r="Z36" t="str">
        <f t="shared" si="5"/>
        <v/>
      </c>
    </row>
    <row r="37" spans="15:26" x14ac:dyDescent="0.3">
      <c r="O37" t="str">
        <f ca="1">IFERROR(INDEX(Roll!$C:$C, MATCH(M37, Roll!$B:$B, 0)), "")</f>
        <v/>
      </c>
      <c r="P37" t="str">
        <f t="shared" ref="P37" ca="1" si="59">IF(O37&lt;&gt;"", IFERROR(MODE(O35:O37), O35), "")</f>
        <v/>
      </c>
      <c r="Q37" t="str">
        <f t="shared" si="0"/>
        <v/>
      </c>
      <c r="R37" t="str">
        <f t="shared" si="1"/>
        <v/>
      </c>
      <c r="S37" t="str">
        <f t="shared" si="2"/>
        <v/>
      </c>
      <c r="V37" t="str">
        <f ca="1">IFERROR(INDEX(Roll!$C:$C, MATCH(T37, Roll!$B:$B, 0)), "")</f>
        <v/>
      </c>
      <c r="W37" t="str">
        <f t="shared" ca="1" si="41"/>
        <v/>
      </c>
      <c r="X37" t="str">
        <f t="shared" si="3"/>
        <v/>
      </c>
      <c r="Y37" t="str">
        <f t="shared" si="4"/>
        <v/>
      </c>
      <c r="Z37" t="str">
        <f t="shared" si="5"/>
        <v/>
      </c>
    </row>
    <row r="38" spans="15:26" x14ac:dyDescent="0.3">
      <c r="O38" t="str">
        <f ca="1">IFERROR(INDEX(Roll!$C:$C, MATCH(M38, Roll!$B:$B, 0)), "")</f>
        <v/>
      </c>
      <c r="P38" t="str">
        <f t="shared" ref="P38" ca="1" si="60">IF(O38&lt;&gt;"",IFERROR(MODE(O38:O40), O38), "")</f>
        <v/>
      </c>
      <c r="Q38" t="str">
        <f t="shared" si="0"/>
        <v/>
      </c>
      <c r="R38" t="str">
        <f t="shared" si="1"/>
        <v/>
      </c>
      <c r="S38" t="str">
        <f t="shared" si="2"/>
        <v/>
      </c>
      <c r="V38" t="str">
        <f ca="1">IFERROR(INDEX(Roll!$C:$C, MATCH(T38, Roll!$B:$B, 0)), "")</f>
        <v/>
      </c>
      <c r="W38" t="str">
        <f t="shared" ref="W38" ca="1" si="61">IF(V38&lt;&gt;"",IFERROR(MODE(V38:V40), V38), "")</f>
        <v/>
      </c>
      <c r="X38" t="str">
        <f t="shared" si="3"/>
        <v/>
      </c>
      <c r="Y38" t="str">
        <f t="shared" si="4"/>
        <v/>
      </c>
      <c r="Z38" t="str">
        <f t="shared" si="5"/>
        <v/>
      </c>
    </row>
    <row r="39" spans="15:26" x14ac:dyDescent="0.3">
      <c r="O39" t="str">
        <f ca="1">IFERROR(INDEX(Roll!$C:$C, MATCH(M39, Roll!$B:$B, 0)), "")</f>
        <v/>
      </c>
      <c r="P39" t="str">
        <f t="shared" ref="P39" ca="1" si="62">IF(O39&lt;&gt;"",IFERROR(MODE(O38:O40), O38), "")</f>
        <v/>
      </c>
      <c r="Q39" t="str">
        <f t="shared" si="0"/>
        <v/>
      </c>
      <c r="R39" t="str">
        <f t="shared" si="1"/>
        <v/>
      </c>
      <c r="S39" t="str">
        <f t="shared" si="2"/>
        <v/>
      </c>
      <c r="V39" t="str">
        <f ca="1">IFERROR(INDEX(Roll!$C:$C, MATCH(T39, Roll!$B:$B, 0)), "")</f>
        <v/>
      </c>
      <c r="W39" t="str">
        <f t="shared" ref="W39" ca="1" si="63">IF(V39&lt;&gt;"",IFERROR(MODE(V38:V40), V38), "")</f>
        <v/>
      </c>
      <c r="X39" t="str">
        <f t="shared" si="3"/>
        <v/>
      </c>
      <c r="Y39" t="str">
        <f t="shared" si="4"/>
        <v/>
      </c>
      <c r="Z39" t="str">
        <f t="shared" si="5"/>
        <v/>
      </c>
    </row>
    <row r="40" spans="15:26" x14ac:dyDescent="0.3">
      <c r="O40" t="str">
        <f ca="1">IFERROR(INDEX(Roll!$C:$C, MATCH(M40, Roll!$B:$B, 0)), "")</f>
        <v/>
      </c>
      <c r="P40" t="str">
        <f t="shared" ref="P40" ca="1" si="64">IF(O40&lt;&gt;"",IFERROR(MODE(O38:O40), O38), "")</f>
        <v/>
      </c>
      <c r="Q40" t="str">
        <f t="shared" si="0"/>
        <v/>
      </c>
      <c r="R40" t="str">
        <f t="shared" si="1"/>
        <v/>
      </c>
      <c r="S40" t="str">
        <f t="shared" si="2"/>
        <v/>
      </c>
      <c r="V40" t="str">
        <f ca="1">IFERROR(INDEX(Roll!$C:$C, MATCH(T40, Roll!$B:$B, 0)), "")</f>
        <v/>
      </c>
      <c r="W40" t="str">
        <f t="shared" ref="W40" ca="1" si="65">IF(V40&lt;&gt;"",IFERROR(MODE(V38:V40), V38), "")</f>
        <v/>
      </c>
      <c r="X40" t="str">
        <f t="shared" si="3"/>
        <v/>
      </c>
      <c r="Y40" t="str">
        <f t="shared" si="4"/>
        <v/>
      </c>
      <c r="Z40" t="str">
        <f t="shared" si="5"/>
        <v/>
      </c>
    </row>
    <row r="41" spans="15:26" x14ac:dyDescent="0.3">
      <c r="O41" t="str">
        <f ca="1">IFERROR(INDEX(Roll!$C:$C, MATCH(M41, Roll!$B:$B, 0)), "")</f>
        <v/>
      </c>
      <c r="P41" t="str">
        <f t="shared" ref="P41" ca="1" si="66">IF(O41&lt;&gt;"", IFERROR(MODE(O41:O43), O41), "")</f>
        <v/>
      </c>
      <c r="Q41" t="str">
        <f t="shared" si="0"/>
        <v/>
      </c>
      <c r="R41" t="str">
        <f t="shared" si="1"/>
        <v/>
      </c>
      <c r="S41" t="str">
        <f t="shared" si="2"/>
        <v/>
      </c>
      <c r="V41" t="str">
        <f ca="1">IFERROR(INDEX(Roll!$C:$C, MATCH(T41, Roll!$B:$B, 0)), "")</f>
        <v/>
      </c>
      <c r="W41" t="str">
        <f t="shared" ref="W41" ca="1" si="67">IF(V41&lt;&gt;"", IFERROR(MODE(V41:V43), V41), "")</f>
        <v/>
      </c>
      <c r="X41" t="str">
        <f t="shared" si="3"/>
        <v/>
      </c>
      <c r="Y41" t="str">
        <f t="shared" si="4"/>
        <v/>
      </c>
      <c r="Z41" t="str">
        <f t="shared" si="5"/>
        <v/>
      </c>
    </row>
    <row r="42" spans="15:26" x14ac:dyDescent="0.3">
      <c r="O42" t="str">
        <f ca="1">IFERROR(INDEX(Roll!$C:$C, MATCH(M42, Roll!$B:$B, 0)), "")</f>
        <v/>
      </c>
      <c r="P42" t="str">
        <f t="shared" ref="P42" ca="1" si="68">IF(O42&lt;&gt;"", IFERROR(MODE(O41:O43), O41), "")</f>
        <v/>
      </c>
      <c r="Q42" t="str">
        <f t="shared" si="0"/>
        <v/>
      </c>
      <c r="R42" t="str">
        <f t="shared" si="1"/>
        <v/>
      </c>
      <c r="S42" t="str">
        <f t="shared" si="2"/>
        <v/>
      </c>
      <c r="V42" t="str">
        <f ca="1">IFERROR(INDEX(Roll!$C:$C, MATCH(T42, Roll!$B:$B, 0)), "")</f>
        <v/>
      </c>
      <c r="W42" t="str">
        <f t="shared" ref="W42" ca="1" si="69">IF(V42&lt;&gt;"", IFERROR(MODE(V41:V43), V41), "")</f>
        <v/>
      </c>
      <c r="X42" t="str">
        <f t="shared" si="3"/>
        <v/>
      </c>
      <c r="Y42" t="str">
        <f t="shared" si="4"/>
        <v/>
      </c>
      <c r="Z42" t="str">
        <f t="shared" si="5"/>
        <v/>
      </c>
    </row>
    <row r="43" spans="15:26" x14ac:dyDescent="0.3">
      <c r="O43" t="str">
        <f ca="1">IFERROR(INDEX(Roll!$C:$C, MATCH(M43, Roll!$B:$B, 0)), "")</f>
        <v/>
      </c>
      <c r="P43" t="str">
        <f t="shared" ref="P43" ca="1" si="70">IF(O43&lt;&gt;"", IFERROR(MODE(O41:O43), O41), "")</f>
        <v/>
      </c>
      <c r="Q43" t="str">
        <f t="shared" si="0"/>
        <v/>
      </c>
      <c r="R43" t="str">
        <f t="shared" si="1"/>
        <v/>
      </c>
      <c r="S43" t="str">
        <f t="shared" si="2"/>
        <v/>
      </c>
      <c r="V43" t="str">
        <f ca="1">IFERROR(INDEX(Roll!$C:$C, MATCH(T43, Roll!$B:$B, 0)), "")</f>
        <v/>
      </c>
      <c r="W43" t="str">
        <f t="shared" ref="W43" ca="1" si="71">IF(V43&lt;&gt;"", IFERROR(MODE(V41:V43), V41), "")</f>
        <v/>
      </c>
      <c r="X43" t="str">
        <f t="shared" si="3"/>
        <v/>
      </c>
      <c r="Y43" t="str">
        <f t="shared" si="4"/>
        <v/>
      </c>
      <c r="Z43" t="str">
        <f t="shared" si="5"/>
        <v/>
      </c>
    </row>
    <row r="44" spans="15:26" x14ac:dyDescent="0.3">
      <c r="O44" t="str">
        <f ca="1">IFERROR(INDEX(Roll!$C:$C, MATCH(M44, Roll!$B:$B, 0)), "")</f>
        <v/>
      </c>
      <c r="P44" t="str">
        <f t="shared" ref="P44" ca="1" si="72">IF(O44&lt;&gt;"",IFERROR(MODE(O44:O46), O44), "")</f>
        <v/>
      </c>
      <c r="Q44" t="str">
        <f t="shared" si="0"/>
        <v/>
      </c>
      <c r="R44" t="str">
        <f t="shared" si="1"/>
        <v/>
      </c>
      <c r="S44" t="str">
        <f t="shared" si="2"/>
        <v/>
      </c>
      <c r="V44" t="str">
        <f ca="1">IFERROR(INDEX(Roll!$C:$C, MATCH(T44, Roll!$B:$B, 0)), "")</f>
        <v/>
      </c>
      <c r="W44" t="str">
        <f t="shared" ca="1" si="31"/>
        <v/>
      </c>
      <c r="X44" t="str">
        <f t="shared" si="3"/>
        <v/>
      </c>
      <c r="Y44" t="str">
        <f t="shared" si="4"/>
        <v/>
      </c>
      <c r="Z44" t="str">
        <f t="shared" si="5"/>
        <v/>
      </c>
    </row>
    <row r="45" spans="15:26" x14ac:dyDescent="0.3">
      <c r="O45" t="str">
        <f ca="1">IFERROR(INDEX(Roll!$C:$C, MATCH(M45, Roll!$B:$B, 0)), "")</f>
        <v/>
      </c>
      <c r="P45" t="str">
        <f t="shared" ref="P45" ca="1" si="73">IF(O45&lt;&gt;"",IFERROR(MODE(O44:O46), O44), "")</f>
        <v/>
      </c>
      <c r="Q45" t="str">
        <f t="shared" si="0"/>
        <v/>
      </c>
      <c r="R45" t="str">
        <f t="shared" si="1"/>
        <v/>
      </c>
      <c r="S45" t="str">
        <f t="shared" si="2"/>
        <v/>
      </c>
      <c r="V45" t="str">
        <f ca="1">IFERROR(INDEX(Roll!$C:$C, MATCH(T45, Roll!$B:$B, 0)), "")</f>
        <v/>
      </c>
      <c r="W45" t="str">
        <f t="shared" ca="1" si="33"/>
        <v/>
      </c>
      <c r="X45" t="str">
        <f t="shared" si="3"/>
        <v/>
      </c>
      <c r="Y45" t="str">
        <f t="shared" si="4"/>
        <v/>
      </c>
      <c r="Z45" t="str">
        <f t="shared" si="5"/>
        <v/>
      </c>
    </row>
    <row r="46" spans="15:26" x14ac:dyDescent="0.3">
      <c r="O46" t="str">
        <f ca="1">IFERROR(INDEX(Roll!$C:$C, MATCH(M46, Roll!$B:$B, 0)), "")</f>
        <v/>
      </c>
      <c r="P46" t="str">
        <f t="shared" ref="P46" ca="1" si="74">IF(O46&lt;&gt;"",IFERROR(MODE(O44:O46), O44), "")</f>
        <v/>
      </c>
      <c r="Q46" t="str">
        <f t="shared" si="0"/>
        <v/>
      </c>
      <c r="R46" t="str">
        <f t="shared" si="1"/>
        <v/>
      </c>
      <c r="S46" t="str">
        <f t="shared" si="2"/>
        <v/>
      </c>
      <c r="V46" t="str">
        <f ca="1">IFERROR(INDEX(Roll!$C:$C, MATCH(T46, Roll!$B:$B, 0)), "")</f>
        <v/>
      </c>
      <c r="W46" t="str">
        <f t="shared" ca="1" si="35"/>
        <v/>
      </c>
      <c r="X46" t="str">
        <f t="shared" si="3"/>
        <v/>
      </c>
      <c r="Y46" t="str">
        <f t="shared" si="4"/>
        <v/>
      </c>
      <c r="Z46" t="str">
        <f t="shared" si="5"/>
        <v/>
      </c>
    </row>
    <row r="47" spans="15:26" x14ac:dyDescent="0.3">
      <c r="O47" t="str">
        <f ca="1">IFERROR(INDEX(Roll!$C:$C, MATCH(M47, Roll!$B:$B, 0)), "")</f>
        <v/>
      </c>
      <c r="P47" t="str">
        <f t="shared" ref="P47" ca="1" si="75">IF(O47&lt;&gt;"", IFERROR(MODE(O47:O49), O47), "")</f>
        <v/>
      </c>
      <c r="Q47" t="str">
        <f t="shared" si="0"/>
        <v/>
      </c>
      <c r="R47" t="str">
        <f t="shared" si="1"/>
        <v/>
      </c>
      <c r="S47" t="str">
        <f t="shared" si="2"/>
        <v/>
      </c>
      <c r="V47" t="str">
        <f ca="1">IFERROR(INDEX(Roll!$C:$C, MATCH(T47, Roll!$B:$B, 0)), "")</f>
        <v/>
      </c>
      <c r="W47" t="str">
        <f t="shared" ca="1" si="37"/>
        <v/>
      </c>
      <c r="X47" t="str">
        <f t="shared" si="3"/>
        <v/>
      </c>
      <c r="Y47" t="str">
        <f t="shared" si="4"/>
        <v/>
      </c>
      <c r="Z47" t="str">
        <f t="shared" si="5"/>
        <v/>
      </c>
    </row>
    <row r="48" spans="15:26" x14ac:dyDescent="0.3">
      <c r="O48" t="str">
        <f ca="1">IFERROR(INDEX(Roll!$C:$C, MATCH(M48, Roll!$B:$B, 0)), "")</f>
        <v/>
      </c>
      <c r="P48" t="str">
        <f t="shared" ref="P48" ca="1" si="76">IF(O48&lt;&gt;"", IFERROR(MODE(O47:O49), O47), "")</f>
        <v/>
      </c>
      <c r="Q48" t="str">
        <f t="shared" si="0"/>
        <v/>
      </c>
      <c r="R48" t="str">
        <f t="shared" si="1"/>
        <v/>
      </c>
      <c r="S48" t="str">
        <f t="shared" si="2"/>
        <v/>
      </c>
      <c r="V48" t="str">
        <f ca="1">IFERROR(INDEX(Roll!$C:$C, MATCH(T48, Roll!$B:$B, 0)), "")</f>
        <v/>
      </c>
      <c r="W48" t="str">
        <f t="shared" ca="1" si="39"/>
        <v/>
      </c>
      <c r="X48" t="str">
        <f t="shared" si="3"/>
        <v/>
      </c>
      <c r="Y48" t="str">
        <f t="shared" si="4"/>
        <v/>
      </c>
      <c r="Z48" t="str">
        <f t="shared" si="5"/>
        <v/>
      </c>
    </row>
    <row r="49" spans="15:26" x14ac:dyDescent="0.3">
      <c r="O49" t="str">
        <f ca="1">IFERROR(INDEX(Roll!$C:$C, MATCH(M49, Roll!$B:$B, 0)), "")</f>
        <v/>
      </c>
      <c r="P49" t="str">
        <f t="shared" ref="P49" ca="1" si="77">IF(O49&lt;&gt;"", IFERROR(MODE(O47:O49), O47), "")</f>
        <v/>
      </c>
      <c r="Q49" t="str">
        <f t="shared" si="0"/>
        <v/>
      </c>
      <c r="R49" t="str">
        <f t="shared" si="1"/>
        <v/>
      </c>
      <c r="S49" t="str">
        <f t="shared" si="2"/>
        <v/>
      </c>
      <c r="V49" t="str">
        <f ca="1">IFERROR(INDEX(Roll!$C:$C, MATCH(T49, Roll!$B:$B, 0)), "")</f>
        <v/>
      </c>
      <c r="W49" t="str">
        <f t="shared" ca="1" si="41"/>
        <v/>
      </c>
      <c r="X49" t="str">
        <f t="shared" si="3"/>
        <v/>
      </c>
      <c r="Y49" t="str">
        <f t="shared" si="4"/>
        <v/>
      </c>
      <c r="Z49" t="str">
        <f t="shared" si="5"/>
        <v/>
      </c>
    </row>
    <row r="50" spans="15:26" x14ac:dyDescent="0.3">
      <c r="O50" t="str">
        <f ca="1">IFERROR(INDEX(Roll!$C:$C, MATCH(M50, Roll!$B:$B, 0)), "")</f>
        <v/>
      </c>
      <c r="P50" t="str">
        <f t="shared" ref="P50" ca="1" si="78">IF(O50&lt;&gt;"",IFERROR(MODE(O50:O52), O50), "")</f>
        <v/>
      </c>
      <c r="Q50" t="str">
        <f t="shared" si="0"/>
        <v/>
      </c>
      <c r="R50" t="str">
        <f t="shared" si="1"/>
        <v/>
      </c>
      <c r="S50" t="str">
        <f t="shared" si="2"/>
        <v/>
      </c>
      <c r="V50" t="str">
        <f ca="1">IFERROR(INDEX(Roll!$C:$C, MATCH(T50, Roll!$B:$B, 0)), "")</f>
        <v/>
      </c>
      <c r="W50" t="str">
        <f t="shared" ref="W50" ca="1" si="79">IF(V50&lt;&gt;"",IFERROR(MODE(V50:V52), V50), "")</f>
        <v/>
      </c>
      <c r="X50" t="str">
        <f t="shared" si="3"/>
        <v/>
      </c>
      <c r="Y50" t="str">
        <f t="shared" si="4"/>
        <v/>
      </c>
      <c r="Z50" t="str">
        <f t="shared" si="5"/>
        <v/>
      </c>
    </row>
    <row r="51" spans="15:26" x14ac:dyDescent="0.3">
      <c r="O51" t="str">
        <f ca="1">IFERROR(INDEX(Roll!$C:$C, MATCH(M51, Roll!$B:$B, 0)), "")</f>
        <v/>
      </c>
      <c r="P51" t="str">
        <f t="shared" ref="P51" ca="1" si="80">IF(O51&lt;&gt;"",IFERROR(MODE(O50:O52), O50), "")</f>
        <v/>
      </c>
      <c r="Q51" t="str">
        <f t="shared" si="0"/>
        <v/>
      </c>
      <c r="R51" t="str">
        <f t="shared" si="1"/>
        <v/>
      </c>
      <c r="S51" t="str">
        <f t="shared" si="2"/>
        <v/>
      </c>
      <c r="V51" t="str">
        <f ca="1">IFERROR(INDEX(Roll!$C:$C, MATCH(T51, Roll!$B:$B, 0)), "")</f>
        <v/>
      </c>
      <c r="W51" t="str">
        <f t="shared" ref="W51" ca="1" si="81">IF(V51&lt;&gt;"",IFERROR(MODE(V50:V52), V50), "")</f>
        <v/>
      </c>
      <c r="X51" t="str">
        <f t="shared" si="3"/>
        <v/>
      </c>
      <c r="Y51" t="str">
        <f t="shared" si="4"/>
        <v/>
      </c>
      <c r="Z51" t="str">
        <f t="shared" si="5"/>
        <v/>
      </c>
    </row>
    <row r="52" spans="15:26" x14ac:dyDescent="0.3">
      <c r="O52" t="str">
        <f ca="1">IFERROR(INDEX(Roll!$C:$C, MATCH(M52, Roll!$B:$B, 0)), "")</f>
        <v/>
      </c>
      <c r="P52" t="str">
        <f t="shared" ref="P52" ca="1" si="82">IF(O52&lt;&gt;"",IFERROR(MODE(O50:O52), O50), "")</f>
        <v/>
      </c>
      <c r="Q52" t="str">
        <f t="shared" si="0"/>
        <v/>
      </c>
      <c r="R52" t="str">
        <f t="shared" si="1"/>
        <v/>
      </c>
      <c r="S52" t="str">
        <f t="shared" si="2"/>
        <v/>
      </c>
      <c r="V52" t="str">
        <f ca="1">IFERROR(INDEX(Roll!$C:$C, MATCH(T52, Roll!$B:$B, 0)), "")</f>
        <v/>
      </c>
      <c r="W52" t="str">
        <f t="shared" ref="W52" ca="1" si="83">IF(V52&lt;&gt;"",IFERROR(MODE(V50:V52), V50), "")</f>
        <v/>
      </c>
      <c r="X52" t="str">
        <f t="shared" si="3"/>
        <v/>
      </c>
      <c r="Y52" t="str">
        <f t="shared" si="4"/>
        <v/>
      </c>
      <c r="Z52" t="str">
        <f t="shared" si="5"/>
        <v/>
      </c>
    </row>
    <row r="53" spans="15:26" x14ac:dyDescent="0.3">
      <c r="O53" t="str">
        <f ca="1">IFERROR(INDEX(Roll!$C:$C, MATCH(M53, Roll!$B:$B, 0)), "")</f>
        <v/>
      </c>
      <c r="P53" t="str">
        <f t="shared" ref="P53" ca="1" si="84">IF(O53&lt;&gt;"", IFERROR(MODE(O53:O55), O53), "")</f>
        <v/>
      </c>
      <c r="Q53" t="str">
        <f t="shared" si="0"/>
        <v/>
      </c>
      <c r="R53" t="str">
        <f t="shared" si="1"/>
        <v/>
      </c>
      <c r="S53" t="str">
        <f t="shared" si="2"/>
        <v/>
      </c>
      <c r="V53" t="str">
        <f ca="1">IFERROR(INDEX(Roll!$C:$C, MATCH(T53, Roll!$B:$B, 0)), "")</f>
        <v/>
      </c>
      <c r="W53" t="str">
        <f t="shared" ref="W53" ca="1" si="85">IF(V53&lt;&gt;"", IFERROR(MODE(V53:V55), V53), "")</f>
        <v/>
      </c>
      <c r="X53" t="str">
        <f t="shared" si="3"/>
        <v/>
      </c>
      <c r="Y53" t="str">
        <f t="shared" si="4"/>
        <v/>
      </c>
      <c r="Z53" t="str">
        <f t="shared" si="5"/>
        <v/>
      </c>
    </row>
    <row r="54" spans="15:26" x14ac:dyDescent="0.3">
      <c r="O54" t="str">
        <f ca="1">IFERROR(INDEX(Roll!$C:$C, MATCH(M54, Roll!$B:$B, 0)), "")</f>
        <v/>
      </c>
      <c r="P54" t="str">
        <f t="shared" ref="P54" ca="1" si="86">IF(O54&lt;&gt;"", IFERROR(MODE(O53:O55), O53), "")</f>
        <v/>
      </c>
      <c r="Q54" t="str">
        <f t="shared" si="0"/>
        <v/>
      </c>
      <c r="R54" t="str">
        <f t="shared" si="1"/>
        <v/>
      </c>
      <c r="S54" t="str">
        <f t="shared" si="2"/>
        <v/>
      </c>
      <c r="V54" t="str">
        <f ca="1">IFERROR(INDEX(Roll!$C:$C, MATCH(T54, Roll!$B:$B, 0)), "")</f>
        <v/>
      </c>
      <c r="W54" t="str">
        <f t="shared" ref="W54" ca="1" si="87">IF(V54&lt;&gt;"", IFERROR(MODE(V53:V55), V53), "")</f>
        <v/>
      </c>
      <c r="X54" t="str">
        <f t="shared" si="3"/>
        <v/>
      </c>
      <c r="Y54" t="str">
        <f t="shared" si="4"/>
        <v/>
      </c>
      <c r="Z54" t="str">
        <f t="shared" si="5"/>
        <v/>
      </c>
    </row>
    <row r="55" spans="15:26" x14ac:dyDescent="0.3">
      <c r="O55" t="str">
        <f ca="1">IFERROR(INDEX(Roll!$C:$C, MATCH(M55, Roll!$B:$B, 0)), "")</f>
        <v/>
      </c>
      <c r="P55" t="str">
        <f t="shared" ref="P55" ca="1" si="88">IF(O55&lt;&gt;"", IFERROR(MODE(O53:O55), O53), "")</f>
        <v/>
      </c>
      <c r="Q55" t="str">
        <f t="shared" si="0"/>
        <v/>
      </c>
      <c r="R55" t="str">
        <f t="shared" si="1"/>
        <v/>
      </c>
      <c r="S55" t="str">
        <f t="shared" si="2"/>
        <v/>
      </c>
      <c r="V55" t="str">
        <f ca="1">IFERROR(INDEX(Roll!$C:$C, MATCH(T55, Roll!$B:$B, 0)), "")</f>
        <v/>
      </c>
      <c r="W55" t="str">
        <f t="shared" ref="W55" ca="1" si="89">IF(V55&lt;&gt;"", IFERROR(MODE(V53:V55), V53), "")</f>
        <v/>
      </c>
      <c r="X55" t="str">
        <f t="shared" si="3"/>
        <v/>
      </c>
      <c r="Y55" t="str">
        <f t="shared" si="4"/>
        <v/>
      </c>
      <c r="Z55" t="str">
        <f t="shared" si="5"/>
        <v/>
      </c>
    </row>
    <row r="56" spans="15:26" x14ac:dyDescent="0.3">
      <c r="O56" t="str">
        <f ca="1">IFERROR(INDEX(Roll!$C:$C, MATCH(M56, Roll!$B:$B, 0)), "")</f>
        <v/>
      </c>
      <c r="P56" t="str">
        <f t="shared" ref="P56" ca="1" si="90">IF(O56&lt;&gt;"",IFERROR(MODE(O56:O58), O56), "")</f>
        <v/>
      </c>
      <c r="Q56" t="str">
        <f t="shared" si="0"/>
        <v/>
      </c>
      <c r="R56" t="str">
        <f t="shared" si="1"/>
        <v/>
      </c>
      <c r="S56" t="str">
        <f t="shared" si="2"/>
        <v/>
      </c>
      <c r="V56" t="str">
        <f ca="1">IFERROR(INDEX(Roll!$C:$C, MATCH(T56, Roll!$B:$B, 0)), "")</f>
        <v/>
      </c>
      <c r="W56" t="str">
        <f t="shared" ca="1" si="31"/>
        <v/>
      </c>
      <c r="X56" t="str">
        <f t="shared" si="3"/>
        <v/>
      </c>
      <c r="Y56" t="str">
        <f t="shared" si="4"/>
        <v/>
      </c>
      <c r="Z56" t="str">
        <f t="shared" si="5"/>
        <v/>
      </c>
    </row>
    <row r="57" spans="15:26" x14ac:dyDescent="0.3">
      <c r="O57" t="str">
        <f ca="1">IFERROR(INDEX(Roll!$C:$C, MATCH(M57, Roll!$B:$B, 0)), "")</f>
        <v/>
      </c>
      <c r="P57" t="str">
        <f t="shared" ref="P57" ca="1" si="91">IF(O57&lt;&gt;"",IFERROR(MODE(O56:O58), O56), "")</f>
        <v/>
      </c>
      <c r="Q57" t="str">
        <f t="shared" si="0"/>
        <v/>
      </c>
      <c r="R57" t="str">
        <f t="shared" si="1"/>
        <v/>
      </c>
      <c r="S57" t="str">
        <f t="shared" si="2"/>
        <v/>
      </c>
      <c r="V57" t="str">
        <f ca="1">IFERROR(INDEX(Roll!$C:$C, MATCH(T57, Roll!$B:$B, 0)), "")</f>
        <v/>
      </c>
      <c r="W57" t="str">
        <f t="shared" ca="1" si="33"/>
        <v/>
      </c>
      <c r="X57" t="str">
        <f t="shared" si="3"/>
        <v/>
      </c>
      <c r="Y57" t="str">
        <f t="shared" si="4"/>
        <v/>
      </c>
      <c r="Z57" t="str">
        <f t="shared" si="5"/>
        <v/>
      </c>
    </row>
    <row r="58" spans="15:26" x14ac:dyDescent="0.3">
      <c r="O58" t="str">
        <f ca="1">IFERROR(INDEX(Roll!$C:$C, MATCH(M58, Roll!$B:$B, 0)), "")</f>
        <v/>
      </c>
      <c r="P58" t="str">
        <f t="shared" ref="P58" ca="1" si="92">IF(O58&lt;&gt;"",IFERROR(MODE(O56:O58), O56), "")</f>
        <v/>
      </c>
      <c r="Q58" t="str">
        <f t="shared" si="0"/>
        <v/>
      </c>
      <c r="R58" t="str">
        <f t="shared" si="1"/>
        <v/>
      </c>
      <c r="S58" t="str">
        <f t="shared" si="2"/>
        <v/>
      </c>
      <c r="V58" t="str">
        <f ca="1">IFERROR(INDEX(Roll!$C:$C, MATCH(T58, Roll!$B:$B, 0)), "")</f>
        <v/>
      </c>
      <c r="W58" t="str">
        <f t="shared" ca="1" si="35"/>
        <v/>
      </c>
      <c r="X58" t="str">
        <f t="shared" si="3"/>
        <v/>
      </c>
      <c r="Y58" t="str">
        <f t="shared" si="4"/>
        <v/>
      </c>
      <c r="Z58" t="str">
        <f t="shared" si="5"/>
        <v/>
      </c>
    </row>
    <row r="59" spans="15:26" x14ac:dyDescent="0.3">
      <c r="O59" t="str">
        <f ca="1">IFERROR(INDEX(Roll!$C:$C, MATCH(M59, Roll!$B:$B, 0)), "")</f>
        <v/>
      </c>
      <c r="P59" t="str">
        <f t="shared" ref="P59" ca="1" si="93">IF(O59&lt;&gt;"", IFERROR(MODE(O59:O61), O59), "")</f>
        <v/>
      </c>
      <c r="Q59" t="str">
        <f t="shared" si="0"/>
        <v/>
      </c>
      <c r="R59" t="str">
        <f t="shared" si="1"/>
        <v/>
      </c>
      <c r="S59" t="str">
        <f t="shared" si="2"/>
        <v/>
      </c>
      <c r="V59" t="str">
        <f ca="1">IFERROR(INDEX(Roll!$C:$C, MATCH(T59, Roll!$B:$B, 0)), "")</f>
        <v/>
      </c>
      <c r="W59" t="str">
        <f t="shared" ca="1" si="37"/>
        <v/>
      </c>
      <c r="X59" t="str">
        <f t="shared" si="3"/>
        <v/>
      </c>
      <c r="Y59" t="str">
        <f t="shared" si="4"/>
        <v/>
      </c>
      <c r="Z59" t="str">
        <f t="shared" si="5"/>
        <v/>
      </c>
    </row>
    <row r="60" spans="15:26" x14ac:dyDescent="0.3">
      <c r="O60" t="str">
        <f ca="1">IFERROR(INDEX(Roll!$C:$C, MATCH(M60, Roll!$B:$B, 0)), "")</f>
        <v/>
      </c>
      <c r="P60" t="str">
        <f t="shared" ref="P60" ca="1" si="94">IF(O60&lt;&gt;"", IFERROR(MODE(O59:O61), O59), "")</f>
        <v/>
      </c>
      <c r="Q60" t="str">
        <f t="shared" si="0"/>
        <v/>
      </c>
      <c r="R60" t="str">
        <f t="shared" si="1"/>
        <v/>
      </c>
      <c r="S60" t="str">
        <f t="shared" si="2"/>
        <v/>
      </c>
      <c r="V60" t="str">
        <f ca="1">IFERROR(INDEX(Roll!$C:$C, MATCH(T60, Roll!$B:$B, 0)), "")</f>
        <v/>
      </c>
      <c r="W60" t="str">
        <f t="shared" ca="1" si="39"/>
        <v/>
      </c>
      <c r="X60" t="str">
        <f t="shared" si="3"/>
        <v/>
      </c>
      <c r="Y60" t="str">
        <f t="shared" si="4"/>
        <v/>
      </c>
      <c r="Z60" t="str">
        <f t="shared" si="5"/>
        <v/>
      </c>
    </row>
    <row r="61" spans="15:26" x14ac:dyDescent="0.3">
      <c r="O61" t="str">
        <f ca="1">IFERROR(INDEX(Roll!$C:$C, MATCH(M61, Roll!$B:$B, 0)), "")</f>
        <v/>
      </c>
      <c r="V61" t="str">
        <f ca="1">IFERROR(INDEX(Roll!$C:$C, MATCH(T61, Roll!$B:$B, 0)), "")</f>
        <v/>
      </c>
    </row>
    <row r="62" spans="15:26" x14ac:dyDescent="0.3">
      <c r="O62" t="str">
        <f ca="1">IFERROR(INDEX(Roll!$C:$C, MATCH(M62, Roll!$B:$B, 0)), "")</f>
        <v/>
      </c>
      <c r="V62" t="str">
        <f ca="1">IFERROR(INDEX(Roll!$C:$C, MATCH(T62, Roll!$B:$B, 0)), "")</f>
        <v/>
      </c>
    </row>
    <row r="63" spans="15:26" x14ac:dyDescent="0.3">
      <c r="O63" t="str">
        <f ca="1">IFERROR(INDEX(Roll!$C:$C, MATCH(M63, Roll!$B:$B, 0)), "")</f>
        <v/>
      </c>
      <c r="V63" t="str">
        <f ca="1">IFERROR(INDEX(Roll!$C:$C, MATCH(T63, Roll!$B:$B, 0)), "")</f>
        <v/>
      </c>
    </row>
    <row r="64" spans="15:26" x14ac:dyDescent="0.3">
      <c r="O64" t="str">
        <f ca="1">IFERROR(INDEX(Roll!$C:$C, MATCH(M64, Roll!$B:$B, 0)), "")</f>
        <v/>
      </c>
      <c r="V64" t="str">
        <f ca="1">IFERROR(INDEX(Roll!$C:$C, MATCH(T64, Roll!$B:$B, 0)), "")</f>
        <v/>
      </c>
    </row>
    <row r="65" spans="15:22" x14ac:dyDescent="0.3">
      <c r="O65" t="str">
        <f ca="1">IFERROR(INDEX(Roll!$C:$C, MATCH(M65, Roll!$B:$B, 0)), "")</f>
        <v/>
      </c>
      <c r="V65" t="str">
        <f ca="1">IFERROR(INDEX(Roll!$C:$C, MATCH(T65, Roll!$B:$B, 0)), "")</f>
        <v/>
      </c>
    </row>
    <row r="66" spans="15:22" x14ac:dyDescent="0.3">
      <c r="O66" t="str">
        <f ca="1">IFERROR(INDEX(Roll!$C:$C, MATCH(M66, Roll!$B:$B, 0)), "")</f>
        <v/>
      </c>
      <c r="V66" t="str">
        <f ca="1">IFERROR(INDEX(Roll!$C:$C, MATCH(T66, Roll!$B:$B, 0)), "")</f>
        <v/>
      </c>
    </row>
    <row r="67" spans="15:22" x14ac:dyDescent="0.3">
      <c r="O67" t="str">
        <f ca="1">IFERROR(INDEX(Roll!$C:$C, MATCH(M67, Roll!$B:$B, 0)), "")</f>
        <v/>
      </c>
      <c r="V67" t="str">
        <f ca="1">IFERROR(INDEX(Roll!$C:$C, MATCH(T67, Roll!$B:$B, 0)), "")</f>
        <v/>
      </c>
    </row>
    <row r="68" spans="15:22" x14ac:dyDescent="0.3">
      <c r="O68" t="str">
        <f ca="1">IFERROR(INDEX(Roll!$C:$C, MATCH(M68, Roll!$B:$B, 0)), "")</f>
        <v/>
      </c>
      <c r="V68" t="str">
        <f ca="1">IFERROR(INDEX(Roll!$C:$C, MATCH(T68, Roll!$B:$B, 0)), "")</f>
        <v/>
      </c>
    </row>
    <row r="69" spans="15:22" x14ac:dyDescent="0.3">
      <c r="O69" t="str">
        <f ca="1">IFERROR(INDEX(Roll!$C:$C, MATCH(M69, Roll!$B:$B, 0)), "")</f>
        <v/>
      </c>
      <c r="V69" t="str">
        <f ca="1">IFERROR(INDEX(Roll!$C:$C, MATCH(T69, Roll!$B:$B, 0)), "")</f>
        <v/>
      </c>
    </row>
    <row r="70" spans="15:22" x14ac:dyDescent="0.3">
      <c r="O70" t="str">
        <f ca="1">IFERROR(INDEX(Roll!$C:$C, MATCH(M70, Roll!$B:$B, 0)), "")</f>
        <v/>
      </c>
      <c r="V70" t="str">
        <f ca="1">IFERROR(INDEX(Roll!$C:$C, MATCH(T70, Roll!$B:$B, 0)), "")</f>
        <v/>
      </c>
    </row>
    <row r="71" spans="15:22" x14ac:dyDescent="0.3">
      <c r="O71" t="str">
        <f ca="1">IFERROR(INDEX(Roll!$C:$C, MATCH(M71, Roll!$B:$B, 0)), "")</f>
        <v/>
      </c>
      <c r="V71" t="str">
        <f ca="1">IFERROR(INDEX(Roll!$C:$C, MATCH(T71, Roll!$B:$B, 0)), "")</f>
        <v/>
      </c>
    </row>
    <row r="72" spans="15:22" x14ac:dyDescent="0.3">
      <c r="O72" t="str">
        <f ca="1">IFERROR(INDEX(Roll!$C:$C, MATCH(M72, Roll!$B:$B, 0)), "")</f>
        <v/>
      </c>
      <c r="V72" t="str">
        <f ca="1">IFERROR(INDEX(Roll!$C:$C, MATCH(T72, Roll!$B:$B, 0)), "")</f>
        <v/>
      </c>
    </row>
    <row r="73" spans="15:22" x14ac:dyDescent="0.3">
      <c r="O73" t="str">
        <f ca="1">IFERROR(INDEX(Roll!$C:$C, MATCH(M73, Roll!$B:$B, 0)), "")</f>
        <v/>
      </c>
      <c r="V73" t="str">
        <f ca="1">IFERROR(INDEX(Roll!$C:$C, MATCH(T73, Roll!$B:$B, 0)), "")</f>
        <v/>
      </c>
    </row>
    <row r="74" spans="15:22" x14ac:dyDescent="0.3">
      <c r="O74" t="str">
        <f ca="1">IFERROR(INDEX(Roll!$C:$C, MATCH(M74, Roll!$B:$B, 0)), "")</f>
        <v/>
      </c>
      <c r="V74" t="str">
        <f ca="1">IFERROR(INDEX(Roll!$C:$C, MATCH(T74, Roll!$B:$B, 0)), "")</f>
        <v/>
      </c>
    </row>
    <row r="75" spans="15:22" x14ac:dyDescent="0.3">
      <c r="O75" t="str">
        <f ca="1">IFERROR(INDEX(Roll!$C:$C, MATCH(M75, Roll!$B:$B, 0)), "")</f>
        <v/>
      </c>
      <c r="V75" t="str">
        <f ca="1">IFERROR(INDEX(Roll!$C:$C, MATCH(T75, Roll!$B:$B, 0)), "")</f>
        <v/>
      </c>
    </row>
    <row r="76" spans="15:22" x14ac:dyDescent="0.3">
      <c r="O76" t="str">
        <f ca="1">IFERROR(INDEX(Roll!$C:$C, MATCH(M76, Roll!$B:$B, 0)), "")</f>
        <v/>
      </c>
      <c r="V76" t="str">
        <f ca="1">IFERROR(INDEX(Roll!$C:$C, MATCH(T76, Roll!$B:$B, 0)), "")</f>
        <v/>
      </c>
    </row>
    <row r="77" spans="15:22" x14ac:dyDescent="0.3">
      <c r="O77" t="str">
        <f ca="1">IFERROR(INDEX(Roll!$C:$C, MATCH(M77, Roll!$B:$B, 0)), "")</f>
        <v/>
      </c>
      <c r="V77" t="str">
        <f ca="1">IFERROR(INDEX(Roll!$C:$C, MATCH(T77, Roll!$B:$B, 0)), "")</f>
        <v/>
      </c>
    </row>
    <row r="78" spans="15:22" x14ac:dyDescent="0.3">
      <c r="O78" t="str">
        <f ca="1">IFERROR(INDEX(Roll!$C:$C, MATCH(M78, Roll!$B:$B, 0)), "")</f>
        <v/>
      </c>
      <c r="V78" t="str">
        <f ca="1">IFERROR(INDEX(Roll!$C:$C, MATCH(T78, Roll!$B:$B, 0)), "")</f>
        <v/>
      </c>
    </row>
    <row r="79" spans="15:22" x14ac:dyDescent="0.3">
      <c r="O79" t="str">
        <f ca="1">IFERROR(INDEX(Roll!$C:$C, MATCH(M79, Roll!$B:$B, 0)), "")</f>
        <v/>
      </c>
      <c r="V79" t="str">
        <f ca="1">IFERROR(INDEX(Roll!$C:$C, MATCH(T79, Roll!$B:$B, 0)), "")</f>
        <v/>
      </c>
    </row>
    <row r="80" spans="15:22" x14ac:dyDescent="0.3">
      <c r="O80" t="str">
        <f ca="1">IFERROR(INDEX(Roll!$C:$C, MATCH(M80, Roll!$B:$B, 0)), "")</f>
        <v/>
      </c>
      <c r="V80" t="str">
        <f ca="1">IFERROR(INDEX(Roll!$C:$C, MATCH(T80, Roll!$B:$B, 0)), "")</f>
        <v/>
      </c>
    </row>
    <row r="81" spans="15:22" x14ac:dyDescent="0.3">
      <c r="O81" t="str">
        <f ca="1">IFERROR(INDEX(Roll!$C:$C, MATCH(M81, Roll!$B:$B, 0)), "")</f>
        <v/>
      </c>
      <c r="V81" t="str">
        <f ca="1">IFERROR(INDEX(Roll!$C:$C, MATCH(T81, Roll!$B:$B, 0)), "")</f>
        <v/>
      </c>
    </row>
    <row r="82" spans="15:22" x14ac:dyDescent="0.3">
      <c r="O82" t="str">
        <f ca="1">IFERROR(INDEX(Roll!$C:$C, MATCH(M82, Roll!$B:$B, 0)), "")</f>
        <v/>
      </c>
      <c r="V82" t="str">
        <f ca="1">IFERROR(INDEX(Roll!$C:$C, MATCH(T82, Roll!$B:$B, 0)), "")</f>
        <v/>
      </c>
    </row>
    <row r="83" spans="15:22" x14ac:dyDescent="0.3">
      <c r="O83" t="str">
        <f ca="1">IFERROR(INDEX(Roll!$C:$C, MATCH(M83, Roll!$B:$B, 0)), "")</f>
        <v/>
      </c>
      <c r="V83" t="str">
        <f ca="1">IFERROR(INDEX(Roll!$C:$C, MATCH(T83, Roll!$B:$B, 0)), "")</f>
        <v/>
      </c>
    </row>
    <row r="84" spans="15:22" x14ac:dyDescent="0.3">
      <c r="O84" t="str">
        <f ca="1">IFERROR(INDEX(Roll!$C:$C, MATCH(M84, Roll!$B:$B, 0)), "")</f>
        <v/>
      </c>
      <c r="V84" t="str">
        <f ca="1">IFERROR(INDEX(Roll!$C:$C, MATCH(T84, Roll!$B:$B, 0)), "")</f>
        <v/>
      </c>
    </row>
    <row r="85" spans="15:22" x14ac:dyDescent="0.3">
      <c r="O85" t="str">
        <f ca="1">IFERROR(INDEX(Roll!$C:$C, MATCH(M85, Roll!$B:$B, 0)), "")</f>
        <v/>
      </c>
      <c r="V85" t="str">
        <f ca="1">IFERROR(INDEX(Roll!$C:$C, MATCH(T85, Roll!$B:$B, 0)), "")</f>
        <v/>
      </c>
    </row>
    <row r="86" spans="15:22" x14ac:dyDescent="0.3">
      <c r="O86" t="str">
        <f ca="1">IFERROR(INDEX(Roll!$C:$C, MATCH(M86, Roll!$B:$B, 0)), "")</f>
        <v/>
      </c>
      <c r="V86" t="str">
        <f ca="1">IFERROR(INDEX(Roll!$C:$C, MATCH(T86, Roll!$B:$B, 0)), "")</f>
        <v/>
      </c>
    </row>
    <row r="87" spans="15:22" x14ac:dyDescent="0.3">
      <c r="O87" t="str">
        <f ca="1">IFERROR(INDEX(Roll!$C:$C, MATCH(M87, Roll!$B:$B, 0)), "")</f>
        <v/>
      </c>
      <c r="V87" t="str">
        <f ca="1">IFERROR(INDEX(Roll!$C:$C, MATCH(T87, Roll!$B:$B, 0)), "")</f>
        <v/>
      </c>
    </row>
    <row r="88" spans="15:22" x14ac:dyDescent="0.3">
      <c r="O88" t="str">
        <f ca="1">IFERROR(INDEX(Roll!$C:$C, MATCH(M88, Roll!$B:$B, 0)), "")</f>
        <v/>
      </c>
      <c r="V88" t="str">
        <f ca="1">IFERROR(INDEX(Roll!$C:$C, MATCH(T88, Roll!$B:$B, 0)), "")</f>
        <v/>
      </c>
    </row>
    <row r="89" spans="15:22" x14ac:dyDescent="0.3">
      <c r="O89" t="str">
        <f ca="1">IFERROR(INDEX(Roll!$C:$C, MATCH(M89, Roll!$B:$B, 0)), "")</f>
        <v/>
      </c>
      <c r="V89" t="str">
        <f ca="1">IFERROR(INDEX(Roll!$C:$C, MATCH(T89, Roll!$B:$B, 0)), "")</f>
        <v/>
      </c>
    </row>
    <row r="90" spans="15:22" x14ac:dyDescent="0.3">
      <c r="O90" t="str">
        <f ca="1">IFERROR(INDEX(Roll!$C:$C, MATCH(M90, Roll!$B:$B, 0)), "")</f>
        <v/>
      </c>
      <c r="V90" t="str">
        <f ca="1">IFERROR(INDEX(Roll!$C:$C, MATCH(T90, Roll!$B:$B, 0)), "")</f>
        <v/>
      </c>
    </row>
    <row r="91" spans="15:22" x14ac:dyDescent="0.3">
      <c r="O91" t="str">
        <f ca="1">IFERROR(INDEX(Roll!$C:$C, MATCH(M91, Roll!$B:$B, 0)), "")</f>
        <v/>
      </c>
      <c r="V91" t="str">
        <f ca="1">IFERROR(INDEX(Roll!$C:$C, MATCH(T91, Roll!$B:$B, 0)), "")</f>
        <v/>
      </c>
    </row>
    <row r="92" spans="15:22" x14ac:dyDescent="0.3">
      <c r="O92" t="str">
        <f ca="1">IFERROR(INDEX(Roll!$C:$C, MATCH(M92, Roll!$B:$B, 0)), "")</f>
        <v/>
      </c>
      <c r="V92" t="str">
        <f ca="1">IFERROR(INDEX(Roll!$C:$C, MATCH(T92, Roll!$B:$B, 0)), "")</f>
        <v/>
      </c>
    </row>
    <row r="93" spans="15:22" x14ac:dyDescent="0.3">
      <c r="O93" t="str">
        <f ca="1">IFERROR(INDEX(Roll!$C:$C, MATCH(M93, Roll!$B:$B, 0)), "")</f>
        <v/>
      </c>
      <c r="V93" t="str">
        <f ca="1">IFERROR(INDEX(Roll!$C:$C, MATCH(T93, Roll!$B:$B, 0)), "")</f>
        <v/>
      </c>
    </row>
    <row r="94" spans="15:22" x14ac:dyDescent="0.3">
      <c r="O94" t="str">
        <f ca="1">IFERROR(INDEX(Roll!$C:$C, MATCH(M94, Roll!$B:$B, 0)), "")</f>
        <v/>
      </c>
      <c r="V94" t="str">
        <f ca="1">IFERROR(INDEX(Roll!$C:$C, MATCH(T94, Roll!$B:$B, 0)), "")</f>
        <v/>
      </c>
    </row>
    <row r="95" spans="15:22" x14ac:dyDescent="0.3">
      <c r="O95" t="str">
        <f ca="1">IFERROR(INDEX(Roll!$C:$C, MATCH(M95, Roll!$B:$B, 0)), "")</f>
        <v/>
      </c>
      <c r="V95" t="str">
        <f ca="1">IFERROR(INDEX(Roll!$C:$C, MATCH(T95, Roll!$B:$B, 0)), "")</f>
        <v/>
      </c>
    </row>
    <row r="96" spans="15:22" x14ac:dyDescent="0.3">
      <c r="O96" t="str">
        <f ca="1">IFERROR(INDEX(Roll!$C:$C, MATCH(M96, Roll!$B:$B, 0)), "")</f>
        <v/>
      </c>
      <c r="V96" t="str">
        <f ca="1">IFERROR(INDEX(Roll!$C:$C, MATCH(T96, Roll!$B:$B, 0)), "")</f>
        <v/>
      </c>
    </row>
    <row r="97" spans="15:22" x14ac:dyDescent="0.3">
      <c r="O97" t="str">
        <f ca="1">IFERROR(INDEX(Roll!$C:$C, MATCH(M97, Roll!$B:$B, 0)), "")</f>
        <v/>
      </c>
      <c r="V97" t="str">
        <f ca="1">IFERROR(INDEX(Roll!$C:$C, MATCH(T97, Roll!$B:$B, 0)), "")</f>
        <v/>
      </c>
    </row>
    <row r="98" spans="15:22" x14ac:dyDescent="0.3">
      <c r="O98" t="str">
        <f ca="1">IFERROR(INDEX(Roll!$C:$C, MATCH(M98, Roll!$B:$B, 0)), "")</f>
        <v/>
      </c>
      <c r="V98" t="str">
        <f ca="1">IFERROR(INDEX(Roll!$C:$C, MATCH(T98, Roll!$B:$B, 0)), "")</f>
        <v/>
      </c>
    </row>
    <row r="99" spans="15:22" x14ac:dyDescent="0.3">
      <c r="O99" t="str">
        <f ca="1">IFERROR(INDEX(Roll!$C:$C, MATCH(M99, Roll!$B:$B, 0)), "")</f>
        <v/>
      </c>
      <c r="V99" t="str">
        <f ca="1">IFERROR(INDEX(Roll!$C:$C, MATCH(T99, Roll!$B:$B, 0)), "")</f>
        <v/>
      </c>
    </row>
    <row r="100" spans="15:22" x14ac:dyDescent="0.3">
      <c r="O100" t="str">
        <f ca="1">IFERROR(INDEX(Roll!$C:$C, MATCH(M100, Roll!$B:$B, 0)), "")</f>
        <v/>
      </c>
      <c r="V100" t="str">
        <f ca="1">IFERROR(INDEX(Roll!$C:$C, MATCH(T100, Roll!$B:$B, 0)), "")</f>
        <v/>
      </c>
    </row>
    <row r="101" spans="15:22" x14ac:dyDescent="0.3">
      <c r="O101" t="str">
        <f ca="1">IFERROR(INDEX(Roll!$C:$C, MATCH(M101, Roll!$B:$B, 0)), "")</f>
        <v/>
      </c>
      <c r="V101" t="str">
        <f ca="1">IFERROR(INDEX(Roll!$C:$C, MATCH(T101, Roll!$B:$B, 0)), "")</f>
        <v/>
      </c>
    </row>
    <row r="102" spans="15:22" x14ac:dyDescent="0.3">
      <c r="O102" t="str">
        <f ca="1">IFERROR(INDEX(Roll!$C:$C, MATCH(M102, Roll!$B:$B, 0)), "")</f>
        <v/>
      </c>
      <c r="V102" t="str">
        <f ca="1">IFERROR(INDEX(Roll!$C:$C, MATCH(T102, Roll!$B:$B, 0)), "")</f>
        <v/>
      </c>
    </row>
    <row r="103" spans="15:22" x14ac:dyDescent="0.3">
      <c r="O103" t="str">
        <f ca="1">IFERROR(INDEX(Roll!$C:$C, MATCH(M103, Roll!$B:$B, 0)), "")</f>
        <v/>
      </c>
      <c r="V103" t="str">
        <f ca="1">IFERROR(INDEX(Roll!$C:$C, MATCH(T103, Roll!$B:$B, 0)), "")</f>
        <v/>
      </c>
    </row>
    <row r="104" spans="15:22" x14ac:dyDescent="0.3">
      <c r="O104" t="str">
        <f ca="1">IFERROR(INDEX(Roll!$C:$C, MATCH(M104, Roll!$B:$B, 0)), "")</f>
        <v/>
      </c>
      <c r="V104" t="str">
        <f ca="1">IFERROR(INDEX(Roll!$C:$C, MATCH(T104, Roll!$B:$B, 0)), "")</f>
        <v/>
      </c>
    </row>
    <row r="105" spans="15:22" x14ac:dyDescent="0.3">
      <c r="O105" t="str">
        <f ca="1">IFERROR(INDEX(Roll!$C:$C, MATCH(M105, Roll!$B:$B, 0)), "")</f>
        <v/>
      </c>
      <c r="V105" t="str">
        <f ca="1">IFERROR(INDEX(Roll!$C:$C, MATCH(T105, Roll!$B:$B, 0)), "")</f>
        <v/>
      </c>
    </row>
    <row r="106" spans="15:22" x14ac:dyDescent="0.3">
      <c r="O106" t="str">
        <f ca="1">IFERROR(INDEX(Roll!$C:$C, MATCH(M106, Roll!$B:$B, 0)), "")</f>
        <v/>
      </c>
      <c r="V106" t="str">
        <f ca="1">IFERROR(INDEX(Roll!$C:$C, MATCH(T106, Roll!$B:$B, 0)), "")</f>
        <v/>
      </c>
    </row>
    <row r="107" spans="15:22" x14ac:dyDescent="0.3">
      <c r="O107" t="str">
        <f ca="1">IFERROR(INDEX(Roll!$C:$C, MATCH(M107, Roll!$B:$B, 0)), "")</f>
        <v/>
      </c>
      <c r="V107" t="str">
        <f ca="1">IFERROR(INDEX(Roll!$C:$C, MATCH(T107, Roll!$B:$B, 0)), "")</f>
        <v/>
      </c>
    </row>
    <row r="108" spans="15:22" x14ac:dyDescent="0.3">
      <c r="O108" t="str">
        <f ca="1">IFERROR(INDEX(Roll!$C:$C, MATCH(M108, Roll!$B:$B, 0)), "")</f>
        <v/>
      </c>
      <c r="V108" t="str">
        <f ca="1">IFERROR(INDEX(Roll!$C:$C, MATCH(T108, Roll!$B:$B, 0)), "")</f>
        <v/>
      </c>
    </row>
    <row r="109" spans="15:22" x14ac:dyDescent="0.3">
      <c r="O109" t="str">
        <f ca="1">IFERROR(INDEX(Roll!$C:$C, MATCH(M109, Roll!$B:$B, 0)), "")</f>
        <v/>
      </c>
      <c r="V109" t="str">
        <f ca="1">IFERROR(INDEX(Roll!$C:$C, MATCH(T109, Roll!$B:$B, 0)), "")</f>
        <v/>
      </c>
    </row>
    <row r="110" spans="15:22" x14ac:dyDescent="0.3">
      <c r="O110" t="str">
        <f ca="1">IFERROR(INDEX(Roll!$C:$C, MATCH(M110, Roll!$B:$B, 0)), "")</f>
        <v/>
      </c>
      <c r="V110" t="str">
        <f ca="1">IFERROR(INDEX(Roll!$C:$C, MATCH(T110, Roll!$B:$B, 0)), "")</f>
        <v/>
      </c>
    </row>
    <row r="111" spans="15:22" x14ac:dyDescent="0.3">
      <c r="O111" t="str">
        <f ca="1">IFERROR(INDEX(Roll!$C:$C, MATCH(M111, Roll!$B:$B, 0)), "")</f>
        <v/>
      </c>
      <c r="V111" t="str">
        <f ca="1">IFERROR(INDEX(Roll!$C:$C, MATCH(T111, Roll!$B:$B, 0)), "")</f>
        <v/>
      </c>
    </row>
    <row r="112" spans="15:22" x14ac:dyDescent="0.3">
      <c r="O112" t="str">
        <f ca="1">IFERROR(INDEX(Roll!$C:$C, MATCH(M112, Roll!$B:$B, 0)), "")</f>
        <v/>
      </c>
      <c r="V112" t="str">
        <f ca="1">IFERROR(INDEX(Roll!$C:$C, MATCH(T112, Roll!$B:$B, 0)), "")</f>
        <v/>
      </c>
    </row>
    <row r="113" spans="15:22" x14ac:dyDescent="0.3">
      <c r="O113" t="str">
        <f ca="1">IFERROR(INDEX(Roll!$C:$C, MATCH(M113, Roll!$B:$B, 0)), "")</f>
        <v/>
      </c>
      <c r="V113" t="str">
        <f ca="1">IFERROR(INDEX(Roll!$C:$C, MATCH(T113, Roll!$B:$B, 0)), "")</f>
        <v/>
      </c>
    </row>
    <row r="114" spans="15:22" x14ac:dyDescent="0.3">
      <c r="O114" t="str">
        <f ca="1">IFERROR(INDEX(Roll!$C:$C, MATCH(M114, Roll!$B:$B, 0)), "")</f>
        <v/>
      </c>
      <c r="V114" t="str">
        <f ca="1">IFERROR(INDEX(Roll!$C:$C, MATCH(T114, Roll!$B:$B, 0)), "")</f>
        <v/>
      </c>
    </row>
    <row r="115" spans="15:22" x14ac:dyDescent="0.3">
      <c r="O115" t="str">
        <f ca="1">IFERROR(INDEX(Roll!$C:$C, MATCH(M115, Roll!$B:$B, 0)), "")</f>
        <v/>
      </c>
      <c r="V115" t="str">
        <f ca="1">IFERROR(INDEX(Roll!$C:$C, MATCH(T115, Roll!$B:$B, 0)), "")</f>
        <v/>
      </c>
    </row>
    <row r="116" spans="15:22" x14ac:dyDescent="0.3">
      <c r="O116" t="str">
        <f ca="1">IFERROR(INDEX(Roll!$C:$C, MATCH(M116, Roll!$B:$B, 0)), "")</f>
        <v/>
      </c>
      <c r="V116" t="str">
        <f ca="1">IFERROR(INDEX(Roll!$C:$C, MATCH(T116, Roll!$B:$B, 0)), "")</f>
        <v/>
      </c>
    </row>
    <row r="117" spans="15:22" x14ac:dyDescent="0.3">
      <c r="O117" t="str">
        <f ca="1">IFERROR(INDEX(Roll!$C:$C, MATCH(M117, Roll!$B:$B, 0)), "")</f>
        <v/>
      </c>
      <c r="V117" t="str">
        <f ca="1">IFERROR(INDEX(Roll!$C:$C, MATCH(T117, Roll!$B:$B, 0)), "")</f>
        <v/>
      </c>
    </row>
    <row r="118" spans="15:22" x14ac:dyDescent="0.3">
      <c r="O118" t="str">
        <f ca="1">IFERROR(INDEX(Roll!$C:$C, MATCH(M118, Roll!$B:$B, 0)), "")</f>
        <v/>
      </c>
      <c r="V118" t="str">
        <f ca="1">IFERROR(INDEX(Roll!$C:$C, MATCH(T118, Roll!$B:$B, 0)), "")</f>
        <v/>
      </c>
    </row>
    <row r="119" spans="15:22" x14ac:dyDescent="0.3">
      <c r="O119" t="str">
        <f ca="1">IFERROR(INDEX(Roll!$C:$C, MATCH(M119, Roll!$B:$B, 0)), "")</f>
        <v/>
      </c>
      <c r="V119" t="str">
        <f ca="1">IFERROR(INDEX(Roll!$C:$C, MATCH(T119, Roll!$B:$B, 0)), "")</f>
        <v/>
      </c>
    </row>
    <row r="120" spans="15:22" x14ac:dyDescent="0.3">
      <c r="O120" t="str">
        <f ca="1">IFERROR(INDEX(Roll!$C:$C, MATCH(M120, Roll!$B:$B, 0)), "")</f>
        <v/>
      </c>
      <c r="V120" t="str">
        <f ca="1">IFERROR(INDEX(Roll!$C:$C, MATCH(T120, Roll!$B:$B, 0)), "")</f>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034A7-006C-4641-9B2F-F438F5CB8349}">
  <sheetPr codeName="Sheet15"/>
  <dimension ref="A1:M200"/>
  <sheetViews>
    <sheetView workbookViewId="0">
      <selection activeCell="E27" sqref="E27"/>
    </sheetView>
  </sheetViews>
  <sheetFormatPr defaultColWidth="17.6640625" defaultRowHeight="14.4" x14ac:dyDescent="0.3"/>
  <cols>
    <col min="1" max="1" width="14.77734375" style="25" bestFit="1" customWidth="1"/>
    <col min="2" max="2" width="16.77734375" style="12" bestFit="1" customWidth="1"/>
    <col min="3" max="3" width="17.6640625" style="25"/>
    <col min="4" max="4" width="17.6640625" style="12" bestFit="1" customWidth="1"/>
    <col min="5" max="5" width="12.88671875" style="25" bestFit="1" customWidth="1"/>
    <col min="6" max="6" width="16.77734375" style="12" bestFit="1" customWidth="1"/>
    <col min="7" max="7" width="14.33203125" style="25" bestFit="1" customWidth="1"/>
    <col min="8" max="8" width="17.6640625" style="12" bestFit="1" customWidth="1"/>
    <col min="9" max="9" width="10.5546875" style="25" bestFit="1" customWidth="1"/>
    <col min="10" max="10" width="16.77734375" style="12" bestFit="1" customWidth="1"/>
    <col min="11" max="11" width="12.33203125" style="25" bestFit="1" customWidth="1"/>
    <col min="12" max="12" width="17.6640625" style="12"/>
    <col min="13" max="13" width="3" style="1" bestFit="1" customWidth="1"/>
    <col min="14" max="16384" width="17.6640625" style="1"/>
  </cols>
  <sheetData>
    <row r="1" spans="1:13" s="9" customFormat="1" x14ac:dyDescent="0.3">
      <c r="A1" s="8" t="s">
        <v>30</v>
      </c>
      <c r="B1" s="8" t="s">
        <v>34</v>
      </c>
      <c r="C1" s="8" t="s">
        <v>31</v>
      </c>
      <c r="D1" s="9" t="s">
        <v>35</v>
      </c>
      <c r="E1" s="8" t="s">
        <v>30</v>
      </c>
      <c r="F1" s="8" t="s">
        <v>34</v>
      </c>
      <c r="G1" s="8" t="s">
        <v>31</v>
      </c>
      <c r="H1" s="9" t="s">
        <v>35</v>
      </c>
      <c r="I1" s="8" t="s">
        <v>30</v>
      </c>
      <c r="J1" s="8" t="s">
        <v>34</v>
      </c>
      <c r="K1" s="8" t="s">
        <v>31</v>
      </c>
      <c r="L1" s="9" t="s">
        <v>35</v>
      </c>
      <c r="M1" s="9">
        <v>10</v>
      </c>
    </row>
    <row r="2" spans="1:13" x14ac:dyDescent="0.3">
      <c r="A2" s="2"/>
      <c r="B2" s="50"/>
      <c r="E2" s="2"/>
      <c r="F2" s="50"/>
      <c r="I2" s="2"/>
      <c r="J2" s="50"/>
    </row>
    <row r="3" spans="1:13" x14ac:dyDescent="0.3">
      <c r="A3" s="2"/>
      <c r="B3" s="50"/>
      <c r="E3" s="2"/>
      <c r="F3" s="50"/>
      <c r="I3" s="2"/>
      <c r="J3" s="50"/>
    </row>
    <row r="4" spans="1:13" x14ac:dyDescent="0.3">
      <c r="A4" s="2"/>
      <c r="B4" s="50"/>
      <c r="E4" s="2"/>
      <c r="F4" s="50"/>
      <c r="I4" s="2"/>
      <c r="J4" s="50"/>
    </row>
    <row r="5" spans="1:13" x14ac:dyDescent="0.3">
      <c r="A5" s="2"/>
      <c r="B5" s="50"/>
      <c r="E5" s="2"/>
      <c r="F5" s="50"/>
      <c r="I5" s="2"/>
      <c r="J5" s="50"/>
    </row>
    <row r="6" spans="1:13" s="9" customFormat="1" x14ac:dyDescent="0.3">
      <c r="A6" s="51" t="s">
        <v>30</v>
      </c>
      <c r="B6" s="51"/>
      <c r="C6" s="51"/>
      <c r="D6" s="9" t="s">
        <v>35</v>
      </c>
      <c r="E6" s="51" t="s">
        <v>30</v>
      </c>
      <c r="F6" s="51"/>
      <c r="G6" s="51"/>
      <c r="H6" s="9" t="s">
        <v>35</v>
      </c>
      <c r="I6" s="9" t="s">
        <v>30</v>
      </c>
      <c r="J6" s="9" t="s">
        <v>34</v>
      </c>
      <c r="K6" s="9" t="s">
        <v>31</v>
      </c>
      <c r="L6" s="9" t="s">
        <v>35</v>
      </c>
    </row>
    <row r="7" spans="1:13" x14ac:dyDescent="0.3">
      <c r="A7" s="2"/>
      <c r="B7" s="50"/>
      <c r="E7" s="2"/>
      <c r="F7" s="50"/>
    </row>
    <row r="8" spans="1:13" x14ac:dyDescent="0.3">
      <c r="A8" s="2"/>
      <c r="B8" s="50"/>
      <c r="E8" s="2"/>
      <c r="F8" s="50"/>
    </row>
    <row r="9" spans="1:13" x14ac:dyDescent="0.3">
      <c r="A9" s="2"/>
      <c r="B9" s="50"/>
      <c r="E9" s="2"/>
      <c r="F9" s="50"/>
    </row>
    <row r="10" spans="1:13" x14ac:dyDescent="0.3">
      <c r="A10" s="2"/>
      <c r="B10" s="50"/>
      <c r="E10" s="2"/>
      <c r="F10" s="50"/>
    </row>
    <row r="11" spans="1:13" s="9" customFormat="1" x14ac:dyDescent="0.3">
      <c r="A11" s="9" t="s">
        <v>30</v>
      </c>
      <c r="B11" s="9" t="s">
        <v>34</v>
      </c>
      <c r="C11" s="9" t="s">
        <v>31</v>
      </c>
      <c r="D11" s="9" t="s">
        <v>35</v>
      </c>
      <c r="E11" s="9" t="s">
        <v>30</v>
      </c>
      <c r="F11" s="9" t="s">
        <v>34</v>
      </c>
      <c r="G11" s="9" t="s">
        <v>31</v>
      </c>
      <c r="H11" s="9" t="s">
        <v>35</v>
      </c>
      <c r="I11" s="9" t="s">
        <v>30</v>
      </c>
      <c r="J11" s="9" t="s">
        <v>34</v>
      </c>
      <c r="K11" s="9" t="s">
        <v>31</v>
      </c>
      <c r="L11" s="9" t="s">
        <v>35</v>
      </c>
    </row>
    <row r="16" spans="1:13" x14ac:dyDescent="0.3">
      <c r="A16" s="1"/>
      <c r="B16" s="1"/>
      <c r="C16" s="1"/>
      <c r="D16" s="1"/>
      <c r="E16" s="1"/>
      <c r="F16" s="1"/>
      <c r="G16" s="1"/>
      <c r="H16" s="1"/>
      <c r="I16" s="1"/>
      <c r="J16" s="1"/>
      <c r="K16" s="1"/>
      <c r="L16" s="1"/>
    </row>
    <row r="17" spans="1:12" x14ac:dyDescent="0.3">
      <c r="A17" s="1"/>
      <c r="B17" s="1"/>
      <c r="C17" s="1"/>
      <c r="D17" s="1"/>
      <c r="E17" s="1"/>
      <c r="F17" s="1"/>
      <c r="G17" s="1"/>
      <c r="H17" s="1"/>
      <c r="I17" s="1"/>
      <c r="J17" s="1"/>
      <c r="K17" s="1"/>
      <c r="L17" s="1"/>
    </row>
    <row r="18" spans="1:12" x14ac:dyDescent="0.3">
      <c r="A18" s="1"/>
      <c r="B18" s="1"/>
      <c r="C18" s="1"/>
      <c r="D18" s="1"/>
      <c r="E18" s="1"/>
      <c r="F18" s="1"/>
      <c r="G18" s="1"/>
      <c r="H18" s="1"/>
      <c r="I18" s="1"/>
      <c r="J18" s="1"/>
      <c r="K18" s="1"/>
      <c r="L18" s="1"/>
    </row>
    <row r="19" spans="1:12" x14ac:dyDescent="0.3">
      <c r="A19" s="1"/>
      <c r="B19" s="1"/>
      <c r="C19" s="1"/>
      <c r="D19" s="1"/>
      <c r="E19" s="1"/>
      <c r="F19" s="1"/>
      <c r="G19" s="1"/>
      <c r="H19" s="1"/>
      <c r="I19" s="1"/>
      <c r="J19" s="1"/>
      <c r="K19" s="1"/>
      <c r="L19" s="1"/>
    </row>
    <row r="20" spans="1:12" x14ac:dyDescent="0.3">
      <c r="A20" s="1"/>
      <c r="B20" s="1"/>
      <c r="C20" s="1"/>
      <c r="D20" s="1"/>
      <c r="E20" s="1"/>
      <c r="F20" s="1"/>
      <c r="G20" s="1"/>
      <c r="H20" s="1"/>
      <c r="I20" s="1"/>
      <c r="J20" s="1"/>
      <c r="K20" s="1"/>
      <c r="L20" s="1"/>
    </row>
    <row r="21" spans="1:12" x14ac:dyDescent="0.3">
      <c r="A21" s="1"/>
      <c r="B21" s="1"/>
      <c r="C21" s="1"/>
      <c r="D21" s="1"/>
      <c r="E21" s="1"/>
      <c r="F21" s="1"/>
      <c r="G21" s="1"/>
      <c r="H21" s="1"/>
      <c r="I21" s="1"/>
      <c r="J21" s="1"/>
      <c r="K21" s="1"/>
      <c r="L21" s="1"/>
    </row>
    <row r="22" spans="1:12" x14ac:dyDescent="0.3">
      <c r="A22" s="1"/>
      <c r="B22" s="1"/>
      <c r="C22" s="1"/>
      <c r="D22" s="1"/>
      <c r="E22" s="1"/>
      <c r="F22" s="1"/>
      <c r="G22" s="1"/>
      <c r="H22" s="1"/>
      <c r="I22" s="1"/>
      <c r="J22" s="1"/>
      <c r="K22" s="1"/>
      <c r="L22" s="1"/>
    </row>
    <row r="23" spans="1:12" x14ac:dyDescent="0.3">
      <c r="A23" s="1"/>
      <c r="B23" s="1"/>
      <c r="C23" s="1"/>
      <c r="D23" s="1"/>
      <c r="E23" s="1"/>
      <c r="F23" s="1"/>
      <c r="G23" s="1"/>
      <c r="H23" s="1"/>
      <c r="I23" s="1"/>
      <c r="J23" s="1"/>
      <c r="K23" s="1"/>
      <c r="L23" s="1"/>
    </row>
    <row r="24" spans="1:12" x14ac:dyDescent="0.3">
      <c r="A24" s="1"/>
      <c r="B24" s="1"/>
      <c r="C24" s="1"/>
      <c r="D24" s="1"/>
      <c r="E24" s="1"/>
      <c r="F24" s="1"/>
      <c r="G24" s="1"/>
      <c r="H24" s="1"/>
      <c r="I24" s="1"/>
      <c r="J24" s="1"/>
      <c r="K24" s="1"/>
      <c r="L24" s="1"/>
    </row>
    <row r="25" spans="1:12" x14ac:dyDescent="0.3">
      <c r="A25" s="1"/>
      <c r="B25" s="1"/>
      <c r="C25" s="1"/>
      <c r="D25" s="1"/>
      <c r="E25" s="1"/>
      <c r="F25" s="1"/>
      <c r="G25" s="1"/>
      <c r="H25" s="1"/>
      <c r="I25" s="1"/>
      <c r="J25" s="1"/>
      <c r="K25" s="1"/>
      <c r="L25" s="1"/>
    </row>
    <row r="26" spans="1:12" x14ac:dyDescent="0.3">
      <c r="A26" s="1"/>
      <c r="B26" s="1"/>
      <c r="C26" s="1"/>
      <c r="D26" s="1"/>
      <c r="E26" s="1"/>
      <c r="F26" s="1"/>
      <c r="G26" s="1"/>
      <c r="H26" s="1"/>
      <c r="I26" s="1"/>
      <c r="J26" s="1"/>
      <c r="K26" s="1"/>
      <c r="L26" s="1"/>
    </row>
    <row r="27" spans="1:12" x14ac:dyDescent="0.3">
      <c r="A27" s="1"/>
      <c r="B27" s="1"/>
      <c r="C27" s="1"/>
      <c r="D27" s="1"/>
      <c r="E27" s="1"/>
      <c r="F27" s="1"/>
      <c r="G27" s="1"/>
      <c r="H27" s="1"/>
      <c r="I27" s="1"/>
      <c r="J27" s="1"/>
      <c r="K27" s="1"/>
      <c r="L27" s="1"/>
    </row>
    <row r="28" spans="1:12" x14ac:dyDescent="0.3">
      <c r="A28" s="1"/>
      <c r="B28" s="1"/>
      <c r="C28" s="1"/>
      <c r="D28" s="1"/>
      <c r="E28" s="1"/>
      <c r="F28" s="1"/>
      <c r="G28" s="1"/>
      <c r="H28" s="1"/>
      <c r="I28" s="1"/>
      <c r="J28" s="1"/>
      <c r="K28" s="1"/>
      <c r="L28" s="1"/>
    </row>
    <row r="29" spans="1:12" x14ac:dyDescent="0.3">
      <c r="A29" s="1"/>
      <c r="B29" s="1"/>
      <c r="C29" s="1"/>
      <c r="D29" s="1"/>
      <c r="E29" s="1"/>
      <c r="F29" s="1"/>
      <c r="G29" s="1"/>
      <c r="H29" s="1"/>
      <c r="I29" s="1"/>
      <c r="J29" s="1"/>
      <c r="K29" s="1"/>
      <c r="L29" s="1"/>
    </row>
    <row r="30" spans="1:12" x14ac:dyDescent="0.3">
      <c r="A30" s="1"/>
      <c r="B30" s="1"/>
      <c r="C30" s="1"/>
      <c r="D30" s="1"/>
      <c r="E30" s="1"/>
      <c r="F30" s="1"/>
      <c r="G30" s="1"/>
      <c r="H30" s="1"/>
      <c r="I30" s="1"/>
      <c r="J30" s="1"/>
      <c r="K30" s="1"/>
      <c r="L30" s="1"/>
    </row>
    <row r="31" spans="1:12" x14ac:dyDescent="0.3">
      <c r="A31" s="1"/>
      <c r="B31" s="1"/>
      <c r="C31" s="1"/>
      <c r="D31" s="1"/>
      <c r="E31" s="1"/>
      <c r="F31" s="1"/>
      <c r="G31" s="1"/>
      <c r="H31" s="1"/>
      <c r="I31" s="1"/>
      <c r="J31" s="1"/>
      <c r="K31" s="1"/>
      <c r="L31" s="1"/>
    </row>
    <row r="32" spans="1:12" x14ac:dyDescent="0.3">
      <c r="A32" s="1"/>
      <c r="B32" s="1"/>
      <c r="C32" s="1"/>
      <c r="D32" s="1"/>
      <c r="E32" s="1"/>
      <c r="F32" s="1"/>
      <c r="G32" s="1"/>
      <c r="H32" s="1"/>
      <c r="I32" s="1"/>
      <c r="J32" s="1"/>
      <c r="K32" s="1"/>
      <c r="L32" s="1"/>
    </row>
    <row r="33" spans="1:12" x14ac:dyDescent="0.3">
      <c r="A33" s="1"/>
      <c r="B33" s="1"/>
      <c r="C33" s="1"/>
      <c r="D33" s="1"/>
      <c r="E33" s="1"/>
      <c r="F33" s="1"/>
      <c r="G33" s="1"/>
      <c r="H33" s="1"/>
      <c r="I33" s="1"/>
      <c r="J33" s="1"/>
      <c r="K33" s="1"/>
      <c r="L33" s="1"/>
    </row>
    <row r="34" spans="1:12" x14ac:dyDescent="0.3">
      <c r="A34" s="1"/>
      <c r="B34" s="1"/>
      <c r="C34" s="1"/>
      <c r="D34" s="1"/>
      <c r="E34" s="1"/>
      <c r="F34" s="1"/>
      <c r="G34" s="1"/>
      <c r="H34" s="1"/>
      <c r="I34" s="1"/>
      <c r="J34" s="1"/>
      <c r="K34" s="1"/>
      <c r="L34" s="1"/>
    </row>
    <row r="35" spans="1:12" x14ac:dyDescent="0.3">
      <c r="A35" s="1"/>
      <c r="B35" s="1"/>
      <c r="C35" s="1"/>
      <c r="D35" s="1"/>
      <c r="E35" s="1"/>
      <c r="F35" s="1"/>
      <c r="G35" s="1"/>
      <c r="H35" s="1"/>
      <c r="I35" s="1"/>
      <c r="J35" s="1"/>
      <c r="K35" s="1"/>
      <c r="L35" s="1"/>
    </row>
    <row r="36" spans="1:12" x14ac:dyDescent="0.3">
      <c r="A36" s="1"/>
      <c r="B36" s="1"/>
      <c r="C36" s="1"/>
      <c r="D36" s="1"/>
      <c r="E36" s="1"/>
      <c r="F36" s="1"/>
      <c r="G36" s="1"/>
      <c r="H36" s="1"/>
      <c r="I36" s="1"/>
      <c r="J36" s="1"/>
      <c r="K36" s="1"/>
      <c r="L36" s="1"/>
    </row>
    <row r="37" spans="1:12" x14ac:dyDescent="0.3">
      <c r="A37" s="1"/>
      <c r="B37" s="1"/>
      <c r="C37" s="1"/>
      <c r="D37" s="1"/>
      <c r="E37" s="1"/>
      <c r="F37" s="1"/>
      <c r="G37" s="1"/>
      <c r="H37" s="1"/>
      <c r="I37" s="1"/>
      <c r="J37" s="1"/>
      <c r="K37" s="1"/>
      <c r="L37" s="1"/>
    </row>
    <row r="38" spans="1:12" x14ac:dyDescent="0.3">
      <c r="A38" s="1"/>
      <c r="B38" s="1"/>
      <c r="C38" s="1"/>
      <c r="D38" s="1"/>
      <c r="E38" s="1"/>
      <c r="F38" s="1"/>
      <c r="G38" s="1"/>
      <c r="H38" s="1"/>
      <c r="I38" s="1"/>
      <c r="J38" s="1"/>
      <c r="K38" s="1"/>
      <c r="L38" s="1"/>
    </row>
    <row r="39" spans="1:12" x14ac:dyDescent="0.3">
      <c r="A39" s="1"/>
      <c r="B39" s="1"/>
      <c r="C39" s="1"/>
      <c r="D39" s="1"/>
      <c r="E39" s="1"/>
      <c r="F39" s="1"/>
      <c r="G39" s="1"/>
      <c r="H39" s="1"/>
      <c r="I39" s="1"/>
      <c r="J39" s="1"/>
      <c r="K39" s="1"/>
      <c r="L39" s="1"/>
    </row>
    <row r="40" spans="1:12" x14ac:dyDescent="0.3">
      <c r="A40" s="1"/>
      <c r="B40" s="1"/>
      <c r="C40" s="1"/>
      <c r="D40" s="1"/>
      <c r="E40" s="1"/>
      <c r="F40" s="1"/>
      <c r="G40" s="1"/>
      <c r="H40" s="1"/>
      <c r="I40" s="1"/>
      <c r="J40" s="1"/>
      <c r="K40" s="1"/>
      <c r="L40" s="1"/>
    </row>
    <row r="41" spans="1:12" x14ac:dyDescent="0.3">
      <c r="A41" s="1"/>
      <c r="B41" s="1"/>
      <c r="C41" s="1"/>
      <c r="D41" s="1"/>
      <c r="E41" s="1"/>
      <c r="F41" s="1"/>
      <c r="G41" s="1"/>
      <c r="H41" s="1"/>
      <c r="I41" s="1"/>
      <c r="J41" s="1"/>
      <c r="K41" s="1"/>
      <c r="L41" s="1"/>
    </row>
    <row r="42" spans="1:12" x14ac:dyDescent="0.3">
      <c r="A42" s="1"/>
      <c r="B42" s="1"/>
      <c r="C42" s="1"/>
      <c r="D42" s="1"/>
      <c r="E42" s="1"/>
      <c r="F42" s="1"/>
      <c r="G42" s="1"/>
      <c r="H42" s="1"/>
      <c r="I42" s="1"/>
      <c r="J42" s="1"/>
      <c r="K42" s="1"/>
      <c r="L42" s="1"/>
    </row>
    <row r="43" spans="1:12" x14ac:dyDescent="0.3">
      <c r="A43" s="1"/>
      <c r="B43" s="1"/>
      <c r="C43" s="1"/>
      <c r="D43" s="1"/>
      <c r="E43" s="1"/>
      <c r="F43" s="1"/>
      <c r="G43" s="1"/>
      <c r="H43" s="1"/>
      <c r="I43" s="1"/>
      <c r="J43" s="1"/>
      <c r="K43" s="1"/>
      <c r="L43" s="1"/>
    </row>
    <row r="44" spans="1:12" x14ac:dyDescent="0.3">
      <c r="A44" s="1"/>
      <c r="B44" s="1"/>
      <c r="C44" s="1"/>
      <c r="D44" s="1"/>
      <c r="E44" s="1"/>
      <c r="F44" s="1"/>
      <c r="G44" s="1"/>
      <c r="H44" s="1"/>
      <c r="I44" s="1"/>
      <c r="J44" s="1"/>
      <c r="K44" s="1"/>
      <c r="L44" s="1"/>
    </row>
    <row r="45" spans="1:12" x14ac:dyDescent="0.3">
      <c r="A45" s="1"/>
      <c r="B45" s="1"/>
      <c r="C45" s="1"/>
      <c r="D45" s="1"/>
      <c r="E45" s="1"/>
      <c r="F45" s="1"/>
      <c r="G45" s="1"/>
      <c r="H45" s="1"/>
      <c r="I45" s="1"/>
      <c r="J45" s="1"/>
      <c r="K45" s="1"/>
      <c r="L45" s="1"/>
    </row>
    <row r="46" spans="1:12" x14ac:dyDescent="0.3">
      <c r="A46" s="1"/>
      <c r="B46" s="1"/>
      <c r="C46" s="1"/>
      <c r="D46" s="1"/>
      <c r="E46" s="1"/>
      <c r="F46" s="1"/>
      <c r="G46" s="1"/>
      <c r="H46" s="1"/>
      <c r="I46" s="1"/>
      <c r="J46" s="1"/>
      <c r="K46" s="1"/>
      <c r="L46" s="1"/>
    </row>
    <row r="47" spans="1:12" x14ac:dyDescent="0.3">
      <c r="A47" s="1"/>
      <c r="B47" s="1"/>
      <c r="C47" s="1"/>
      <c r="D47" s="1"/>
      <c r="E47" s="1"/>
      <c r="F47" s="1"/>
      <c r="G47" s="1"/>
      <c r="H47" s="1"/>
      <c r="I47" s="1"/>
      <c r="J47" s="1"/>
      <c r="K47" s="1"/>
      <c r="L47" s="1"/>
    </row>
    <row r="48" spans="1:12" x14ac:dyDescent="0.3">
      <c r="A48" s="1"/>
      <c r="B48" s="1"/>
      <c r="C48" s="1"/>
      <c r="D48" s="1"/>
      <c r="E48" s="1"/>
      <c r="F48" s="1"/>
      <c r="G48" s="1"/>
      <c r="H48" s="1"/>
      <c r="I48" s="1"/>
      <c r="J48" s="1"/>
      <c r="K48" s="1"/>
      <c r="L48" s="1"/>
    </row>
    <row r="49" spans="1:12" x14ac:dyDescent="0.3">
      <c r="A49" s="1"/>
      <c r="B49" s="1"/>
      <c r="C49" s="1"/>
      <c r="D49" s="1"/>
      <c r="E49" s="1"/>
      <c r="F49" s="1"/>
      <c r="G49" s="1"/>
      <c r="H49" s="1"/>
      <c r="I49" s="1"/>
      <c r="J49" s="1"/>
      <c r="K49" s="1"/>
      <c r="L49" s="1"/>
    </row>
    <row r="50" spans="1:12" x14ac:dyDescent="0.3">
      <c r="A50" s="1"/>
      <c r="B50" s="1"/>
      <c r="C50" s="1"/>
      <c r="D50" s="1"/>
      <c r="E50" s="1"/>
      <c r="F50" s="1"/>
      <c r="G50" s="1"/>
      <c r="H50" s="1"/>
      <c r="I50" s="1"/>
      <c r="J50" s="1"/>
      <c r="K50" s="1"/>
      <c r="L50" s="1"/>
    </row>
    <row r="51" spans="1:12" x14ac:dyDescent="0.3">
      <c r="A51" s="1"/>
      <c r="B51" s="1"/>
      <c r="C51" s="1"/>
      <c r="D51" s="1"/>
      <c r="E51" s="1"/>
      <c r="F51" s="1"/>
      <c r="G51" s="1"/>
      <c r="H51" s="1"/>
      <c r="I51" s="1"/>
      <c r="J51" s="1"/>
      <c r="K51" s="1"/>
      <c r="L51" s="1"/>
    </row>
    <row r="52" spans="1:12" x14ac:dyDescent="0.3">
      <c r="A52" s="1"/>
      <c r="B52" s="1"/>
      <c r="C52" s="1"/>
      <c r="D52" s="1"/>
      <c r="E52" s="1"/>
      <c r="F52" s="1"/>
      <c r="G52" s="1"/>
      <c r="H52" s="1"/>
      <c r="I52" s="1"/>
      <c r="J52" s="1"/>
      <c r="K52" s="1"/>
      <c r="L52" s="1"/>
    </row>
    <row r="53" spans="1:12" x14ac:dyDescent="0.3">
      <c r="A53" s="1"/>
      <c r="B53" s="1"/>
      <c r="C53" s="1"/>
      <c r="D53" s="1"/>
      <c r="E53" s="1"/>
      <c r="F53" s="1"/>
      <c r="G53" s="1"/>
      <c r="H53" s="1"/>
      <c r="I53" s="1"/>
      <c r="J53" s="1"/>
      <c r="K53" s="1"/>
      <c r="L53" s="1"/>
    </row>
    <row r="54" spans="1:12" x14ac:dyDescent="0.3">
      <c r="A54" s="1"/>
      <c r="B54" s="1"/>
      <c r="C54" s="1"/>
      <c r="D54" s="1"/>
      <c r="E54" s="1"/>
      <c r="F54" s="1"/>
      <c r="G54" s="1"/>
      <c r="H54" s="1"/>
      <c r="I54" s="1"/>
      <c r="J54" s="1"/>
      <c r="K54" s="1"/>
      <c r="L54" s="1"/>
    </row>
    <row r="55" spans="1:12" x14ac:dyDescent="0.3">
      <c r="A55" s="1"/>
      <c r="B55" s="1"/>
      <c r="C55" s="1"/>
      <c r="D55" s="1"/>
      <c r="E55" s="1"/>
      <c r="F55" s="1"/>
      <c r="G55" s="1"/>
      <c r="H55" s="1"/>
      <c r="I55" s="1"/>
      <c r="J55" s="1"/>
      <c r="K55" s="1"/>
      <c r="L55" s="1"/>
    </row>
    <row r="56" spans="1:12" x14ac:dyDescent="0.3">
      <c r="A56" s="1"/>
      <c r="B56" s="1"/>
      <c r="C56" s="1"/>
      <c r="D56" s="1"/>
      <c r="E56" s="1"/>
      <c r="F56" s="1"/>
      <c r="G56" s="1"/>
      <c r="H56" s="1"/>
      <c r="I56" s="1"/>
      <c r="J56" s="1"/>
      <c r="K56" s="1"/>
      <c r="L56" s="1"/>
    </row>
    <row r="57" spans="1:12" x14ac:dyDescent="0.3">
      <c r="A57" s="1"/>
      <c r="B57" s="1"/>
      <c r="C57" s="1"/>
      <c r="D57" s="1"/>
      <c r="E57" s="1"/>
      <c r="F57" s="1"/>
      <c r="G57" s="1"/>
      <c r="H57" s="1"/>
      <c r="I57" s="1"/>
      <c r="J57" s="1"/>
      <c r="K57" s="1"/>
      <c r="L57" s="1"/>
    </row>
    <row r="58" spans="1:12" x14ac:dyDescent="0.3">
      <c r="A58" s="1"/>
      <c r="B58" s="1"/>
      <c r="C58" s="1"/>
      <c r="D58" s="1"/>
      <c r="E58" s="1"/>
      <c r="F58" s="1"/>
      <c r="G58" s="1"/>
      <c r="H58" s="1"/>
      <c r="I58" s="1"/>
      <c r="J58" s="1"/>
      <c r="K58" s="1"/>
      <c r="L58" s="1"/>
    </row>
    <row r="59" spans="1:12" x14ac:dyDescent="0.3">
      <c r="A59" s="1"/>
      <c r="B59" s="1"/>
      <c r="C59" s="1"/>
      <c r="D59" s="1"/>
      <c r="E59" s="1"/>
      <c r="F59" s="1"/>
      <c r="G59" s="1"/>
      <c r="H59" s="1"/>
      <c r="I59" s="1"/>
      <c r="J59" s="1"/>
      <c r="K59" s="1"/>
      <c r="L59" s="1"/>
    </row>
    <row r="60" spans="1:12" x14ac:dyDescent="0.3">
      <c r="A60" s="1"/>
      <c r="B60" s="1"/>
      <c r="C60" s="1"/>
      <c r="D60" s="1"/>
      <c r="E60" s="1"/>
      <c r="F60" s="1"/>
      <c r="G60" s="1"/>
      <c r="H60" s="1"/>
      <c r="I60" s="1"/>
      <c r="J60" s="1"/>
      <c r="K60" s="1"/>
      <c r="L60" s="1"/>
    </row>
    <row r="61" spans="1:12" x14ac:dyDescent="0.3">
      <c r="A61" s="1"/>
      <c r="B61" s="1"/>
      <c r="C61" s="1"/>
      <c r="D61" s="1"/>
      <c r="E61" s="1"/>
      <c r="F61" s="1"/>
      <c r="G61" s="1"/>
      <c r="H61" s="1"/>
      <c r="I61" s="1"/>
      <c r="J61" s="1"/>
      <c r="K61" s="1"/>
      <c r="L61" s="1"/>
    </row>
    <row r="62" spans="1:12" x14ac:dyDescent="0.3">
      <c r="A62" s="1"/>
      <c r="B62" s="1"/>
      <c r="C62" s="1"/>
      <c r="D62" s="1"/>
      <c r="E62" s="1"/>
      <c r="F62" s="1"/>
      <c r="G62" s="1"/>
      <c r="H62" s="1"/>
      <c r="I62" s="1"/>
      <c r="J62" s="1"/>
      <c r="K62" s="1"/>
      <c r="L62" s="1"/>
    </row>
    <row r="63" spans="1:12" x14ac:dyDescent="0.3">
      <c r="A63" s="1"/>
      <c r="B63" s="1"/>
      <c r="C63" s="1"/>
      <c r="D63" s="1"/>
      <c r="E63" s="1"/>
      <c r="F63" s="1"/>
      <c r="G63" s="1"/>
      <c r="H63" s="1"/>
      <c r="I63" s="1"/>
      <c r="J63" s="1"/>
      <c r="K63" s="1"/>
      <c r="L63" s="1"/>
    </row>
    <row r="64" spans="1:12" x14ac:dyDescent="0.3">
      <c r="A64" s="1"/>
      <c r="B64" s="1"/>
      <c r="C64" s="1"/>
      <c r="D64" s="1"/>
      <c r="E64" s="1"/>
      <c r="F64" s="1"/>
      <c r="G64" s="1"/>
      <c r="H64" s="1"/>
      <c r="I64" s="1"/>
      <c r="J64" s="1"/>
      <c r="K64" s="1"/>
      <c r="L64" s="1"/>
    </row>
    <row r="65" spans="1:12" x14ac:dyDescent="0.3">
      <c r="A65" s="1"/>
      <c r="B65" s="1"/>
      <c r="C65" s="1"/>
      <c r="D65" s="1"/>
      <c r="E65" s="1"/>
      <c r="F65" s="1"/>
      <c r="G65" s="1"/>
      <c r="H65" s="1"/>
      <c r="I65" s="1"/>
      <c r="J65" s="1"/>
      <c r="K65" s="1"/>
      <c r="L65" s="1"/>
    </row>
    <row r="66" spans="1:12" x14ac:dyDescent="0.3">
      <c r="A66" s="1"/>
      <c r="B66" s="1"/>
      <c r="C66" s="1"/>
      <c r="D66" s="1"/>
      <c r="E66" s="1"/>
      <c r="F66" s="1"/>
      <c r="G66" s="1"/>
      <c r="H66" s="1"/>
      <c r="I66" s="1"/>
      <c r="J66" s="1"/>
      <c r="K66" s="1"/>
      <c r="L66" s="1"/>
    </row>
    <row r="67" spans="1:12" x14ac:dyDescent="0.3">
      <c r="A67" s="1"/>
      <c r="B67" s="1"/>
      <c r="C67" s="1"/>
      <c r="D67" s="1"/>
      <c r="E67" s="1"/>
      <c r="F67" s="1"/>
      <c r="G67" s="1"/>
      <c r="H67" s="1"/>
      <c r="I67" s="1"/>
      <c r="J67" s="1"/>
      <c r="K67" s="1"/>
      <c r="L67" s="1"/>
    </row>
    <row r="68" spans="1:12" x14ac:dyDescent="0.3">
      <c r="A68" s="1"/>
      <c r="B68" s="1"/>
      <c r="C68" s="1"/>
      <c r="D68" s="1"/>
      <c r="E68" s="1"/>
      <c r="F68" s="1"/>
      <c r="G68" s="1"/>
      <c r="H68" s="1"/>
      <c r="I68" s="1"/>
      <c r="J68" s="1"/>
      <c r="K68" s="1"/>
      <c r="L68" s="1"/>
    </row>
    <row r="69" spans="1:12" x14ac:dyDescent="0.3">
      <c r="A69" s="1"/>
      <c r="B69" s="1"/>
      <c r="C69" s="1"/>
      <c r="D69" s="1"/>
      <c r="E69" s="1"/>
      <c r="F69" s="1"/>
      <c r="G69" s="1"/>
      <c r="H69" s="1"/>
      <c r="I69" s="1"/>
      <c r="J69" s="1"/>
      <c r="K69" s="1"/>
      <c r="L69" s="1"/>
    </row>
    <row r="70" spans="1:12" x14ac:dyDescent="0.3">
      <c r="A70" s="1"/>
      <c r="B70" s="1"/>
      <c r="C70" s="1"/>
      <c r="D70" s="1"/>
      <c r="E70" s="1"/>
      <c r="F70" s="1"/>
      <c r="G70" s="1"/>
      <c r="H70" s="1"/>
      <c r="I70" s="1"/>
      <c r="J70" s="1"/>
      <c r="K70" s="1"/>
      <c r="L70" s="1"/>
    </row>
    <row r="71" spans="1:12" x14ac:dyDescent="0.3">
      <c r="A71" s="1"/>
      <c r="B71" s="1"/>
      <c r="C71" s="1"/>
      <c r="D71" s="1"/>
      <c r="E71" s="1"/>
      <c r="F71" s="1"/>
      <c r="G71" s="1"/>
      <c r="H71" s="1"/>
      <c r="I71" s="1"/>
      <c r="J71" s="1"/>
      <c r="K71" s="1"/>
      <c r="L71" s="1"/>
    </row>
    <row r="72" spans="1:12" x14ac:dyDescent="0.3">
      <c r="A72" s="1"/>
      <c r="B72" s="1"/>
      <c r="C72" s="1"/>
      <c r="D72" s="1"/>
      <c r="E72" s="1"/>
      <c r="F72" s="1"/>
      <c r="G72" s="1"/>
      <c r="H72" s="1"/>
      <c r="I72" s="1"/>
      <c r="J72" s="1"/>
      <c r="K72" s="1"/>
      <c r="L72" s="1"/>
    </row>
    <row r="73" spans="1:12" x14ac:dyDescent="0.3">
      <c r="A73" s="1"/>
      <c r="B73" s="1"/>
      <c r="C73" s="1"/>
      <c r="D73" s="1"/>
      <c r="E73" s="1"/>
      <c r="F73" s="1"/>
      <c r="G73" s="1"/>
      <c r="H73" s="1"/>
      <c r="I73" s="1"/>
      <c r="J73" s="1"/>
      <c r="K73" s="1"/>
      <c r="L73" s="1"/>
    </row>
    <row r="74" spans="1:12" x14ac:dyDescent="0.3">
      <c r="A74" s="1"/>
      <c r="B74" s="1"/>
      <c r="C74" s="1"/>
      <c r="D74" s="1"/>
      <c r="E74" s="1"/>
      <c r="F74" s="1"/>
      <c r="G74" s="1"/>
      <c r="H74" s="1"/>
      <c r="I74" s="1"/>
      <c r="J74" s="1"/>
      <c r="K74" s="1"/>
      <c r="L74" s="1"/>
    </row>
    <row r="75" spans="1:12" x14ac:dyDescent="0.3">
      <c r="A75" s="1"/>
      <c r="B75" s="1"/>
      <c r="C75" s="1"/>
      <c r="D75" s="1"/>
      <c r="E75" s="1"/>
      <c r="F75" s="1"/>
      <c r="G75" s="1"/>
      <c r="H75" s="1"/>
      <c r="I75" s="1"/>
      <c r="J75" s="1"/>
      <c r="K75" s="1"/>
      <c r="L75" s="1"/>
    </row>
    <row r="76" spans="1:12" x14ac:dyDescent="0.3">
      <c r="A76" s="1"/>
      <c r="B76" s="1"/>
      <c r="C76" s="1"/>
      <c r="D76" s="1"/>
      <c r="E76" s="1"/>
      <c r="F76" s="1"/>
      <c r="G76" s="1"/>
      <c r="H76" s="1"/>
      <c r="I76" s="1"/>
      <c r="J76" s="1"/>
      <c r="K76" s="1"/>
      <c r="L76" s="1"/>
    </row>
    <row r="77" spans="1:12" x14ac:dyDescent="0.3">
      <c r="A77" s="1"/>
      <c r="B77" s="1"/>
      <c r="C77" s="1"/>
      <c r="D77" s="1"/>
      <c r="E77" s="1"/>
      <c r="F77" s="1"/>
      <c r="G77" s="1"/>
      <c r="H77" s="1"/>
      <c r="I77" s="1"/>
      <c r="J77" s="1"/>
      <c r="K77" s="1"/>
      <c r="L77" s="1"/>
    </row>
    <row r="78" spans="1:12" x14ac:dyDescent="0.3">
      <c r="A78" s="1"/>
      <c r="B78" s="1"/>
      <c r="C78" s="1"/>
      <c r="D78" s="1"/>
      <c r="E78" s="1"/>
      <c r="F78" s="1"/>
      <c r="G78" s="1"/>
      <c r="H78" s="1"/>
      <c r="I78" s="1"/>
      <c r="J78" s="1"/>
      <c r="K78" s="1"/>
      <c r="L78" s="1"/>
    </row>
    <row r="79" spans="1:12" x14ac:dyDescent="0.3">
      <c r="A79" s="1"/>
      <c r="B79" s="1"/>
      <c r="C79" s="1"/>
      <c r="D79" s="1"/>
      <c r="E79" s="1"/>
      <c r="F79" s="1"/>
      <c r="G79" s="1"/>
      <c r="H79" s="1"/>
      <c r="I79" s="1"/>
      <c r="J79" s="1"/>
      <c r="K79" s="1"/>
      <c r="L79" s="1"/>
    </row>
    <row r="80" spans="1:12" x14ac:dyDescent="0.3">
      <c r="A80" s="1"/>
      <c r="B80" s="1"/>
      <c r="C80" s="1"/>
      <c r="D80" s="1"/>
      <c r="E80" s="1"/>
      <c r="F80" s="1"/>
      <c r="G80" s="1"/>
      <c r="H80" s="1"/>
      <c r="I80" s="1"/>
      <c r="J80" s="1"/>
      <c r="K80" s="1"/>
      <c r="L80" s="1"/>
    </row>
    <row r="81" spans="1:12" x14ac:dyDescent="0.3">
      <c r="A81" s="1"/>
      <c r="B81" s="1"/>
      <c r="C81" s="1"/>
      <c r="D81" s="1"/>
      <c r="E81" s="1"/>
      <c r="F81" s="1"/>
      <c r="G81" s="1"/>
      <c r="H81" s="1"/>
      <c r="I81" s="1"/>
      <c r="J81" s="1"/>
      <c r="K81" s="1"/>
      <c r="L81" s="1"/>
    </row>
    <row r="82" spans="1:12" x14ac:dyDescent="0.3">
      <c r="A82" s="1"/>
      <c r="B82" s="1"/>
      <c r="C82" s="1"/>
      <c r="D82" s="1"/>
      <c r="E82" s="1"/>
      <c r="F82" s="1"/>
      <c r="G82" s="1"/>
      <c r="H82" s="1"/>
      <c r="I82" s="1"/>
      <c r="J82" s="1"/>
      <c r="K82" s="1"/>
      <c r="L82" s="1"/>
    </row>
    <row r="83" spans="1:12" x14ac:dyDescent="0.3">
      <c r="A83" s="1"/>
      <c r="B83" s="1"/>
      <c r="C83" s="1"/>
      <c r="D83" s="1"/>
      <c r="E83" s="1"/>
      <c r="F83" s="1"/>
      <c r="G83" s="1"/>
      <c r="H83" s="1"/>
      <c r="I83" s="1"/>
      <c r="J83" s="1"/>
      <c r="K83" s="1"/>
      <c r="L83" s="1"/>
    </row>
    <row r="84" spans="1:12" x14ac:dyDescent="0.3">
      <c r="A84" s="1"/>
      <c r="B84" s="1"/>
      <c r="C84" s="1"/>
      <c r="D84" s="1"/>
      <c r="E84" s="1"/>
      <c r="F84" s="1"/>
      <c r="G84" s="1"/>
      <c r="H84" s="1"/>
      <c r="I84" s="1"/>
      <c r="J84" s="1"/>
      <c r="K84" s="1"/>
      <c r="L84" s="1"/>
    </row>
    <row r="85" spans="1:12" x14ac:dyDescent="0.3">
      <c r="A85" s="1"/>
      <c r="B85" s="1"/>
      <c r="C85" s="1"/>
      <c r="D85" s="1"/>
      <c r="E85" s="1"/>
      <c r="F85" s="1"/>
      <c r="G85" s="1"/>
      <c r="H85" s="1"/>
      <c r="I85" s="1"/>
      <c r="J85" s="1"/>
      <c r="K85" s="1"/>
      <c r="L85" s="1"/>
    </row>
    <row r="86" spans="1:12" x14ac:dyDescent="0.3">
      <c r="A86" s="1"/>
      <c r="B86" s="1"/>
      <c r="C86" s="1"/>
      <c r="D86" s="1"/>
      <c r="E86" s="1"/>
      <c r="F86" s="1"/>
      <c r="G86" s="1"/>
      <c r="H86" s="1"/>
      <c r="I86" s="1"/>
      <c r="J86" s="1"/>
      <c r="K86" s="1"/>
      <c r="L86" s="1"/>
    </row>
    <row r="87" spans="1:12" x14ac:dyDescent="0.3">
      <c r="A87" s="1"/>
      <c r="B87" s="1"/>
      <c r="C87" s="1"/>
      <c r="D87" s="1"/>
      <c r="E87" s="1"/>
      <c r="F87" s="1"/>
      <c r="G87" s="1"/>
      <c r="H87" s="1"/>
      <c r="I87" s="1"/>
      <c r="J87" s="1"/>
      <c r="K87" s="1"/>
      <c r="L87" s="1"/>
    </row>
    <row r="88" spans="1:12" x14ac:dyDescent="0.3">
      <c r="A88" s="1"/>
      <c r="B88" s="1"/>
      <c r="C88" s="1"/>
      <c r="D88" s="1"/>
      <c r="E88" s="1"/>
      <c r="F88" s="1"/>
      <c r="G88" s="1"/>
      <c r="H88" s="1"/>
      <c r="I88" s="1"/>
      <c r="J88" s="1"/>
      <c r="K88" s="1"/>
      <c r="L88" s="1"/>
    </row>
    <row r="89" spans="1:12" x14ac:dyDescent="0.3">
      <c r="A89" s="1"/>
      <c r="B89" s="1"/>
      <c r="C89" s="1"/>
      <c r="D89" s="1"/>
      <c r="E89" s="1"/>
      <c r="F89" s="1"/>
      <c r="G89" s="1"/>
      <c r="H89" s="1"/>
      <c r="I89" s="1"/>
      <c r="J89" s="1"/>
      <c r="K89" s="1"/>
      <c r="L89" s="1"/>
    </row>
    <row r="90" spans="1:12" x14ac:dyDescent="0.3">
      <c r="A90" s="1"/>
      <c r="B90" s="1"/>
      <c r="C90" s="1"/>
      <c r="D90" s="1"/>
      <c r="E90" s="1"/>
      <c r="F90" s="1"/>
      <c r="G90" s="1"/>
      <c r="H90" s="1"/>
      <c r="I90" s="1"/>
      <c r="J90" s="1"/>
      <c r="K90" s="1"/>
      <c r="L90" s="1"/>
    </row>
    <row r="91" spans="1:12" x14ac:dyDescent="0.3">
      <c r="A91" s="1"/>
      <c r="B91" s="1"/>
      <c r="C91" s="1"/>
      <c r="D91" s="1"/>
      <c r="E91" s="1"/>
      <c r="F91" s="1"/>
      <c r="G91" s="1"/>
      <c r="H91" s="1"/>
      <c r="I91" s="1"/>
      <c r="J91" s="1"/>
      <c r="K91" s="1"/>
      <c r="L91" s="1"/>
    </row>
    <row r="92" spans="1:12" x14ac:dyDescent="0.3">
      <c r="A92" s="1"/>
      <c r="B92" s="1"/>
      <c r="C92" s="1"/>
      <c r="D92" s="1"/>
      <c r="E92" s="1"/>
      <c r="F92" s="1"/>
      <c r="G92" s="1"/>
      <c r="H92" s="1"/>
      <c r="I92" s="1"/>
      <c r="J92" s="1"/>
      <c r="K92" s="1"/>
      <c r="L92" s="1"/>
    </row>
    <row r="93" spans="1:12" x14ac:dyDescent="0.3">
      <c r="A93" s="1"/>
      <c r="B93" s="1"/>
      <c r="C93" s="1"/>
      <c r="D93" s="1"/>
      <c r="E93" s="1"/>
      <c r="F93" s="1"/>
      <c r="G93" s="1"/>
      <c r="H93" s="1"/>
      <c r="I93" s="1"/>
      <c r="J93" s="1"/>
      <c r="K93" s="1"/>
      <c r="L93" s="1"/>
    </row>
    <row r="94" spans="1:12" x14ac:dyDescent="0.3">
      <c r="A94" s="1"/>
      <c r="B94" s="1"/>
      <c r="C94" s="1"/>
      <c r="D94" s="1"/>
      <c r="E94" s="1"/>
      <c r="F94" s="1"/>
      <c r="G94" s="1"/>
      <c r="H94" s="1"/>
      <c r="I94" s="1"/>
      <c r="J94" s="1"/>
      <c r="K94" s="1"/>
      <c r="L94" s="1"/>
    </row>
    <row r="95" spans="1:12" x14ac:dyDescent="0.3">
      <c r="A95" s="1"/>
      <c r="B95" s="1"/>
      <c r="C95" s="1"/>
      <c r="D95" s="1"/>
      <c r="E95" s="1"/>
      <c r="F95" s="1"/>
      <c r="G95" s="1"/>
      <c r="H95" s="1"/>
      <c r="I95" s="1"/>
      <c r="J95" s="1"/>
      <c r="K95" s="1"/>
      <c r="L95" s="1"/>
    </row>
    <row r="96" spans="1:12" x14ac:dyDescent="0.3">
      <c r="A96" s="1"/>
      <c r="B96" s="1"/>
      <c r="C96" s="1"/>
      <c r="D96" s="1"/>
      <c r="E96" s="1"/>
      <c r="F96" s="1"/>
      <c r="G96" s="1"/>
      <c r="H96" s="1"/>
      <c r="I96" s="1"/>
      <c r="J96" s="1"/>
      <c r="K96" s="1"/>
      <c r="L96" s="1"/>
    </row>
    <row r="97" spans="1:12" x14ac:dyDescent="0.3">
      <c r="A97" s="1"/>
      <c r="B97" s="1"/>
      <c r="C97" s="1"/>
      <c r="D97" s="1"/>
      <c r="E97" s="1"/>
      <c r="F97" s="1"/>
      <c r="G97" s="1"/>
      <c r="H97" s="1"/>
      <c r="I97" s="1"/>
      <c r="J97" s="1"/>
      <c r="K97" s="1"/>
      <c r="L97" s="1"/>
    </row>
    <row r="98" spans="1:12" x14ac:dyDescent="0.3">
      <c r="A98" s="1"/>
      <c r="B98" s="1"/>
      <c r="C98" s="1"/>
      <c r="D98" s="1"/>
      <c r="E98" s="1"/>
      <c r="F98" s="1"/>
      <c r="G98" s="1"/>
      <c r="H98" s="1"/>
      <c r="I98" s="1"/>
      <c r="J98" s="1"/>
      <c r="K98" s="1"/>
      <c r="L98" s="1"/>
    </row>
    <row r="99" spans="1:12" x14ac:dyDescent="0.3">
      <c r="A99" s="1"/>
      <c r="B99" s="1"/>
      <c r="C99" s="1"/>
      <c r="D99" s="1"/>
      <c r="E99" s="1"/>
      <c r="F99" s="1"/>
      <c r="G99" s="1"/>
      <c r="H99" s="1"/>
      <c r="I99" s="1"/>
      <c r="J99" s="1"/>
      <c r="K99" s="1"/>
      <c r="L99" s="1"/>
    </row>
    <row r="100" spans="1:12" x14ac:dyDescent="0.3">
      <c r="A100" s="1"/>
      <c r="B100" s="1"/>
      <c r="C100" s="1"/>
      <c r="D100" s="1"/>
      <c r="E100" s="1"/>
      <c r="F100" s="1"/>
      <c r="G100" s="1"/>
      <c r="H100" s="1"/>
      <c r="I100" s="1"/>
      <c r="J100" s="1"/>
      <c r="K100" s="1"/>
      <c r="L100" s="1"/>
    </row>
    <row r="101" spans="1:12" x14ac:dyDescent="0.3">
      <c r="A101" s="1"/>
      <c r="B101" s="1"/>
      <c r="C101" s="1"/>
      <c r="D101" s="1"/>
      <c r="E101" s="1"/>
      <c r="F101" s="1"/>
      <c r="G101" s="1"/>
      <c r="H101" s="1"/>
      <c r="I101" s="1"/>
      <c r="J101" s="1"/>
      <c r="K101" s="1"/>
      <c r="L101" s="1"/>
    </row>
    <row r="102" spans="1:12" x14ac:dyDescent="0.3">
      <c r="A102" s="1"/>
      <c r="B102" s="1"/>
      <c r="C102" s="1"/>
      <c r="D102" s="1"/>
      <c r="E102" s="1"/>
      <c r="F102" s="1"/>
      <c r="G102" s="1"/>
      <c r="H102" s="1"/>
      <c r="I102" s="1"/>
      <c r="J102" s="1"/>
      <c r="K102" s="1"/>
      <c r="L102" s="1"/>
    </row>
    <row r="103" spans="1:12" x14ac:dyDescent="0.3">
      <c r="A103" s="1"/>
      <c r="B103" s="1"/>
      <c r="C103" s="1"/>
      <c r="D103" s="1"/>
      <c r="E103" s="1"/>
      <c r="F103" s="1"/>
      <c r="G103" s="1"/>
      <c r="H103" s="1"/>
      <c r="I103" s="1"/>
      <c r="J103" s="1"/>
      <c r="K103" s="1"/>
      <c r="L103" s="1"/>
    </row>
    <row r="104" spans="1:12" x14ac:dyDescent="0.3">
      <c r="A104" s="1"/>
      <c r="B104" s="1"/>
      <c r="C104" s="1"/>
      <c r="D104" s="1"/>
      <c r="E104" s="1"/>
      <c r="F104" s="1"/>
      <c r="G104" s="1"/>
      <c r="H104" s="1"/>
      <c r="I104" s="1"/>
      <c r="J104" s="1"/>
      <c r="K104" s="1"/>
      <c r="L104" s="1"/>
    </row>
    <row r="105" spans="1:12" x14ac:dyDescent="0.3">
      <c r="A105" s="1"/>
      <c r="B105" s="1"/>
      <c r="C105" s="1"/>
      <c r="D105" s="1"/>
      <c r="E105" s="1"/>
      <c r="F105" s="1"/>
      <c r="G105" s="1"/>
      <c r="H105" s="1"/>
      <c r="I105" s="1"/>
      <c r="J105" s="1"/>
      <c r="K105" s="1"/>
      <c r="L105" s="1"/>
    </row>
    <row r="106" spans="1:12" x14ac:dyDescent="0.3">
      <c r="A106" s="1"/>
      <c r="B106" s="1"/>
      <c r="C106" s="1"/>
      <c r="D106" s="1"/>
      <c r="E106" s="1"/>
      <c r="F106" s="1"/>
      <c r="G106" s="1"/>
      <c r="H106" s="1"/>
      <c r="I106" s="1"/>
      <c r="J106" s="1"/>
      <c r="K106" s="1"/>
      <c r="L106" s="1"/>
    </row>
    <row r="107" spans="1:12" x14ac:dyDescent="0.3">
      <c r="A107" s="1"/>
      <c r="B107" s="1"/>
      <c r="C107" s="1"/>
      <c r="D107" s="1"/>
      <c r="E107" s="1"/>
      <c r="F107" s="1"/>
      <c r="G107" s="1"/>
      <c r="H107" s="1"/>
      <c r="I107" s="1"/>
      <c r="J107" s="1"/>
      <c r="K107" s="1"/>
      <c r="L107" s="1"/>
    </row>
    <row r="108" spans="1:12" x14ac:dyDescent="0.3">
      <c r="A108" s="1"/>
      <c r="B108" s="1"/>
      <c r="C108" s="1"/>
      <c r="D108" s="1"/>
      <c r="E108" s="1"/>
      <c r="F108" s="1"/>
      <c r="G108" s="1"/>
      <c r="H108" s="1"/>
      <c r="I108" s="1"/>
      <c r="J108" s="1"/>
      <c r="K108" s="1"/>
      <c r="L108" s="1"/>
    </row>
    <row r="109" spans="1:12" x14ac:dyDescent="0.3">
      <c r="A109" s="1"/>
      <c r="B109" s="1"/>
      <c r="C109" s="1"/>
      <c r="D109" s="1"/>
      <c r="E109" s="1"/>
      <c r="F109" s="1"/>
      <c r="G109" s="1"/>
      <c r="H109" s="1"/>
      <c r="I109" s="1"/>
      <c r="J109" s="1"/>
      <c r="K109" s="1"/>
      <c r="L109" s="1"/>
    </row>
    <row r="110" spans="1:12" x14ac:dyDescent="0.3">
      <c r="A110" s="1"/>
      <c r="B110" s="1"/>
      <c r="C110" s="1"/>
      <c r="D110" s="1"/>
      <c r="E110" s="1"/>
      <c r="F110" s="1"/>
      <c r="G110" s="1"/>
      <c r="H110" s="1"/>
      <c r="I110" s="1"/>
      <c r="J110" s="1"/>
      <c r="K110" s="1"/>
      <c r="L110" s="1"/>
    </row>
    <row r="111" spans="1:12" x14ac:dyDescent="0.3">
      <c r="A111" s="1"/>
      <c r="B111" s="1"/>
      <c r="C111" s="1"/>
      <c r="D111" s="1"/>
      <c r="E111" s="1"/>
      <c r="F111" s="1"/>
      <c r="G111" s="1"/>
      <c r="H111" s="1"/>
      <c r="I111" s="1"/>
      <c r="J111" s="1"/>
      <c r="K111" s="1"/>
      <c r="L111" s="1"/>
    </row>
    <row r="112" spans="1:12" x14ac:dyDescent="0.3">
      <c r="A112" s="1"/>
      <c r="B112" s="1"/>
      <c r="C112" s="1"/>
      <c r="D112" s="1"/>
      <c r="E112" s="1"/>
      <c r="F112" s="1"/>
      <c r="G112" s="1"/>
      <c r="H112" s="1"/>
      <c r="I112" s="1"/>
      <c r="J112" s="1"/>
      <c r="K112" s="1"/>
      <c r="L112" s="1"/>
    </row>
    <row r="113" spans="1:12" x14ac:dyDescent="0.3">
      <c r="A113" s="1"/>
      <c r="B113" s="1"/>
      <c r="C113" s="1"/>
      <c r="D113" s="1"/>
      <c r="E113" s="1"/>
      <c r="F113" s="1"/>
      <c r="G113" s="1"/>
      <c r="H113" s="1"/>
      <c r="I113" s="1"/>
      <c r="J113" s="1"/>
      <c r="K113" s="1"/>
      <c r="L113" s="1"/>
    </row>
    <row r="114" spans="1:12" x14ac:dyDescent="0.3">
      <c r="A114" s="1"/>
      <c r="B114" s="1"/>
      <c r="C114" s="1"/>
      <c r="D114" s="1"/>
      <c r="E114" s="1"/>
      <c r="F114" s="1"/>
      <c r="G114" s="1"/>
      <c r="H114" s="1"/>
      <c r="I114" s="1"/>
      <c r="J114" s="1"/>
      <c r="K114" s="1"/>
      <c r="L114" s="1"/>
    </row>
    <row r="115" spans="1:12" x14ac:dyDescent="0.3">
      <c r="A115" s="1"/>
      <c r="B115" s="1"/>
      <c r="C115" s="1"/>
      <c r="D115" s="1"/>
      <c r="E115" s="1"/>
      <c r="F115" s="1"/>
      <c r="G115" s="1"/>
      <c r="H115" s="1"/>
      <c r="I115" s="1"/>
      <c r="J115" s="1"/>
      <c r="K115" s="1"/>
      <c r="L115" s="1"/>
    </row>
    <row r="116" spans="1:12" x14ac:dyDescent="0.3">
      <c r="A116" s="1"/>
      <c r="B116" s="1"/>
      <c r="C116" s="1"/>
      <c r="D116" s="1"/>
      <c r="E116" s="1"/>
      <c r="F116" s="1"/>
      <c r="G116" s="1"/>
      <c r="H116" s="1"/>
      <c r="I116" s="1"/>
      <c r="J116" s="1"/>
      <c r="K116" s="1"/>
      <c r="L116" s="1"/>
    </row>
    <row r="117" spans="1:12" x14ac:dyDescent="0.3">
      <c r="A117" s="1"/>
      <c r="B117" s="1"/>
      <c r="C117" s="1"/>
      <c r="D117" s="1"/>
      <c r="E117" s="1"/>
      <c r="F117" s="1"/>
      <c r="G117" s="1"/>
      <c r="H117" s="1"/>
      <c r="I117" s="1"/>
      <c r="J117" s="1"/>
      <c r="K117" s="1"/>
      <c r="L117" s="1"/>
    </row>
    <row r="118" spans="1:12" x14ac:dyDescent="0.3">
      <c r="A118" s="1"/>
      <c r="B118" s="1"/>
      <c r="C118" s="1"/>
      <c r="D118" s="1"/>
      <c r="E118" s="1"/>
      <c r="F118" s="1"/>
      <c r="G118" s="1"/>
      <c r="H118" s="1"/>
      <c r="I118" s="1"/>
      <c r="J118" s="1"/>
      <c r="K118" s="1"/>
      <c r="L118" s="1"/>
    </row>
    <row r="119" spans="1:12" x14ac:dyDescent="0.3">
      <c r="A119" s="1"/>
      <c r="B119" s="1"/>
      <c r="C119" s="1"/>
      <c r="D119" s="1"/>
      <c r="E119" s="1"/>
      <c r="F119" s="1"/>
      <c r="G119" s="1"/>
      <c r="H119" s="1"/>
      <c r="I119" s="1"/>
      <c r="J119" s="1"/>
      <c r="K119" s="1"/>
      <c r="L119" s="1"/>
    </row>
    <row r="120" spans="1:12" x14ac:dyDescent="0.3">
      <c r="A120" s="1"/>
      <c r="B120" s="1"/>
      <c r="C120" s="1"/>
      <c r="D120" s="1"/>
      <c r="E120" s="1"/>
      <c r="F120" s="1"/>
      <c r="G120" s="1"/>
      <c r="H120" s="1"/>
      <c r="I120" s="1"/>
      <c r="J120" s="1"/>
      <c r="K120" s="1"/>
      <c r="L120" s="1"/>
    </row>
    <row r="121" spans="1:12" x14ac:dyDescent="0.3">
      <c r="A121" s="1"/>
      <c r="B121" s="1"/>
      <c r="C121" s="1"/>
      <c r="D121" s="1"/>
      <c r="E121" s="1"/>
      <c r="F121" s="1"/>
      <c r="G121" s="1"/>
      <c r="H121" s="1"/>
      <c r="I121" s="1"/>
      <c r="J121" s="1"/>
      <c r="K121" s="1"/>
      <c r="L121" s="1"/>
    </row>
    <row r="122" spans="1:12" x14ac:dyDescent="0.3">
      <c r="A122" s="1"/>
      <c r="B122" s="1"/>
      <c r="C122" s="1"/>
      <c r="D122" s="1"/>
      <c r="E122" s="1"/>
      <c r="F122" s="1"/>
      <c r="G122" s="1"/>
      <c r="H122" s="1"/>
      <c r="I122" s="1"/>
      <c r="J122" s="1"/>
      <c r="K122" s="1"/>
      <c r="L122" s="1"/>
    </row>
    <row r="123" spans="1:12" x14ac:dyDescent="0.3">
      <c r="A123" s="1"/>
      <c r="B123" s="1"/>
      <c r="C123" s="1"/>
      <c r="D123" s="1"/>
      <c r="E123" s="1"/>
      <c r="F123" s="1"/>
      <c r="G123" s="1"/>
      <c r="H123" s="1"/>
      <c r="I123" s="1"/>
      <c r="J123" s="1"/>
      <c r="K123" s="1"/>
      <c r="L123" s="1"/>
    </row>
    <row r="124" spans="1:12" x14ac:dyDescent="0.3">
      <c r="A124" s="1"/>
      <c r="B124" s="1"/>
      <c r="C124" s="1"/>
      <c r="D124" s="1"/>
      <c r="E124" s="1"/>
      <c r="F124" s="1"/>
      <c r="G124" s="1"/>
      <c r="H124" s="1"/>
      <c r="I124" s="1"/>
      <c r="J124" s="1"/>
      <c r="K124" s="1"/>
      <c r="L124" s="1"/>
    </row>
    <row r="125" spans="1:12" x14ac:dyDescent="0.3">
      <c r="A125" s="1"/>
      <c r="B125" s="1"/>
      <c r="C125" s="1"/>
      <c r="D125" s="1"/>
      <c r="E125" s="1"/>
      <c r="F125" s="1"/>
      <c r="G125" s="1"/>
      <c r="H125" s="1"/>
      <c r="I125" s="1"/>
      <c r="J125" s="1"/>
      <c r="K125" s="1"/>
      <c r="L125" s="1"/>
    </row>
    <row r="126" spans="1:12" x14ac:dyDescent="0.3">
      <c r="A126" s="1"/>
      <c r="B126" s="1"/>
      <c r="C126" s="1"/>
      <c r="D126" s="1"/>
      <c r="E126" s="1"/>
      <c r="F126" s="1"/>
      <c r="G126" s="1"/>
      <c r="H126" s="1"/>
      <c r="I126" s="1"/>
      <c r="J126" s="1"/>
      <c r="K126" s="1"/>
      <c r="L126" s="1"/>
    </row>
    <row r="127" spans="1:12" x14ac:dyDescent="0.3">
      <c r="A127" s="1"/>
      <c r="B127" s="1"/>
      <c r="C127" s="1"/>
      <c r="D127" s="1"/>
      <c r="E127" s="1"/>
      <c r="F127" s="1"/>
      <c r="G127" s="1"/>
      <c r="H127" s="1"/>
      <c r="I127" s="1"/>
      <c r="J127" s="1"/>
      <c r="K127" s="1"/>
      <c r="L127" s="1"/>
    </row>
    <row r="128" spans="1:12" x14ac:dyDescent="0.3">
      <c r="A128" s="1"/>
      <c r="B128" s="1"/>
      <c r="C128" s="1"/>
      <c r="D128" s="1"/>
      <c r="E128" s="1"/>
      <c r="F128" s="1"/>
      <c r="G128" s="1"/>
      <c r="H128" s="1"/>
      <c r="I128" s="1"/>
      <c r="J128" s="1"/>
      <c r="K128" s="1"/>
      <c r="L128" s="1"/>
    </row>
    <row r="129" spans="1:12" x14ac:dyDescent="0.3">
      <c r="A129" s="1"/>
      <c r="B129" s="1"/>
      <c r="C129" s="1"/>
      <c r="D129" s="1"/>
      <c r="E129" s="1"/>
      <c r="F129" s="1"/>
      <c r="G129" s="1"/>
      <c r="H129" s="1"/>
      <c r="I129" s="1"/>
      <c r="J129" s="1"/>
      <c r="K129" s="1"/>
      <c r="L129" s="1"/>
    </row>
    <row r="130" spans="1:12" x14ac:dyDescent="0.3">
      <c r="A130" s="1"/>
      <c r="B130" s="1"/>
      <c r="C130" s="1"/>
      <c r="D130" s="1"/>
      <c r="E130" s="1"/>
      <c r="F130" s="1"/>
      <c r="G130" s="1"/>
      <c r="H130" s="1"/>
      <c r="I130" s="1"/>
      <c r="J130" s="1"/>
      <c r="K130" s="1"/>
      <c r="L130" s="1"/>
    </row>
    <row r="131" spans="1:12" x14ac:dyDescent="0.3">
      <c r="A131" s="1"/>
      <c r="B131" s="1"/>
      <c r="C131" s="1"/>
      <c r="D131" s="1"/>
      <c r="E131" s="1"/>
      <c r="F131" s="1"/>
      <c r="G131" s="1"/>
      <c r="H131" s="1"/>
      <c r="I131" s="1"/>
      <c r="J131" s="1"/>
      <c r="K131" s="1"/>
      <c r="L131" s="1"/>
    </row>
    <row r="132" spans="1:12" x14ac:dyDescent="0.3">
      <c r="A132" s="1"/>
      <c r="B132" s="1"/>
      <c r="C132" s="1"/>
      <c r="D132" s="1"/>
      <c r="E132" s="1"/>
      <c r="F132" s="1"/>
      <c r="G132" s="1"/>
      <c r="H132" s="1"/>
      <c r="I132" s="1"/>
      <c r="J132" s="1"/>
      <c r="K132" s="1"/>
      <c r="L132" s="1"/>
    </row>
    <row r="133" spans="1:12" x14ac:dyDescent="0.3">
      <c r="A133" s="1"/>
      <c r="B133" s="1"/>
      <c r="C133" s="1"/>
      <c r="D133" s="1"/>
      <c r="E133" s="1"/>
      <c r="F133" s="1"/>
      <c r="G133" s="1"/>
      <c r="H133" s="1"/>
      <c r="I133" s="1"/>
      <c r="J133" s="1"/>
      <c r="K133" s="1"/>
      <c r="L133" s="1"/>
    </row>
    <row r="134" spans="1:12" x14ac:dyDescent="0.3">
      <c r="A134" s="1"/>
      <c r="B134" s="1"/>
      <c r="C134" s="1"/>
      <c r="D134" s="1"/>
      <c r="E134" s="1"/>
      <c r="F134" s="1"/>
      <c r="G134" s="1"/>
      <c r="H134" s="1"/>
      <c r="I134" s="1"/>
      <c r="J134" s="1"/>
      <c r="K134" s="1"/>
      <c r="L134" s="1"/>
    </row>
    <row r="135" spans="1:12" x14ac:dyDescent="0.3">
      <c r="A135" s="1"/>
      <c r="B135" s="1"/>
      <c r="C135" s="1"/>
      <c r="D135" s="1"/>
      <c r="E135" s="1"/>
      <c r="F135" s="1"/>
      <c r="G135" s="1"/>
      <c r="H135" s="1"/>
      <c r="I135" s="1"/>
      <c r="J135" s="1"/>
      <c r="K135" s="1"/>
      <c r="L135" s="1"/>
    </row>
    <row r="136" spans="1:12" x14ac:dyDescent="0.3">
      <c r="A136" s="1"/>
      <c r="B136" s="1"/>
      <c r="C136" s="1"/>
      <c r="D136" s="1"/>
      <c r="E136" s="1"/>
      <c r="F136" s="1"/>
      <c r="G136" s="1"/>
      <c r="H136" s="1"/>
      <c r="I136" s="1"/>
      <c r="J136" s="1"/>
      <c r="K136" s="1"/>
      <c r="L136" s="1"/>
    </row>
    <row r="137" spans="1:12" x14ac:dyDescent="0.3">
      <c r="A137" s="1"/>
      <c r="B137" s="1"/>
      <c r="C137" s="1"/>
      <c r="D137" s="1"/>
      <c r="E137" s="1"/>
      <c r="F137" s="1"/>
      <c r="G137" s="1"/>
      <c r="H137" s="1"/>
      <c r="I137" s="1"/>
      <c r="J137" s="1"/>
      <c r="K137" s="1"/>
      <c r="L137" s="1"/>
    </row>
    <row r="138" spans="1:12" x14ac:dyDescent="0.3">
      <c r="A138" s="1"/>
      <c r="B138" s="1"/>
      <c r="C138" s="1"/>
      <c r="D138" s="1"/>
      <c r="E138" s="1"/>
      <c r="F138" s="1"/>
      <c r="G138" s="1"/>
      <c r="H138" s="1"/>
      <c r="I138" s="1"/>
      <c r="J138" s="1"/>
      <c r="K138" s="1"/>
      <c r="L138" s="1"/>
    </row>
    <row r="139" spans="1:12" x14ac:dyDescent="0.3">
      <c r="A139" s="1"/>
      <c r="B139" s="1"/>
      <c r="C139" s="1"/>
      <c r="D139" s="1"/>
      <c r="E139" s="1"/>
      <c r="F139" s="1"/>
      <c r="G139" s="1"/>
      <c r="H139" s="1"/>
      <c r="I139" s="1"/>
      <c r="J139" s="1"/>
      <c r="K139" s="1"/>
      <c r="L139" s="1"/>
    </row>
    <row r="140" spans="1:12" x14ac:dyDescent="0.3">
      <c r="A140" s="1"/>
      <c r="B140" s="1"/>
      <c r="C140" s="1"/>
      <c r="D140" s="1"/>
      <c r="E140" s="1"/>
      <c r="F140" s="1"/>
      <c r="G140" s="1"/>
      <c r="H140" s="1"/>
      <c r="I140" s="1"/>
      <c r="J140" s="1"/>
      <c r="K140" s="1"/>
      <c r="L140" s="1"/>
    </row>
    <row r="141" spans="1:12" x14ac:dyDescent="0.3">
      <c r="A141" s="1"/>
      <c r="B141" s="1"/>
      <c r="C141" s="1"/>
      <c r="D141" s="1"/>
      <c r="E141" s="1"/>
      <c r="F141" s="1"/>
      <c r="G141" s="1"/>
      <c r="H141" s="1"/>
      <c r="I141" s="1"/>
      <c r="J141" s="1"/>
      <c r="K141" s="1"/>
      <c r="L141" s="1"/>
    </row>
    <row r="142" spans="1:12" x14ac:dyDescent="0.3">
      <c r="A142" s="1"/>
      <c r="B142" s="1"/>
      <c r="C142" s="1"/>
      <c r="D142" s="1"/>
      <c r="E142" s="1"/>
      <c r="F142" s="1"/>
      <c r="G142" s="1"/>
      <c r="H142" s="1"/>
      <c r="I142" s="1"/>
      <c r="J142" s="1"/>
      <c r="K142" s="1"/>
      <c r="L142" s="1"/>
    </row>
    <row r="143" spans="1:12" x14ac:dyDescent="0.3">
      <c r="A143" s="1"/>
      <c r="B143" s="1"/>
      <c r="C143" s="1"/>
      <c r="D143" s="1"/>
      <c r="E143" s="1"/>
      <c r="F143" s="1"/>
      <c r="G143" s="1"/>
      <c r="H143" s="1"/>
      <c r="I143" s="1"/>
      <c r="J143" s="1"/>
      <c r="K143" s="1"/>
      <c r="L143" s="1"/>
    </row>
    <row r="144" spans="1:12" x14ac:dyDescent="0.3">
      <c r="A144" s="1"/>
      <c r="B144" s="1"/>
      <c r="C144" s="1"/>
      <c r="D144" s="1"/>
      <c r="E144" s="1"/>
      <c r="F144" s="1"/>
      <c r="G144" s="1"/>
      <c r="H144" s="1"/>
      <c r="I144" s="1"/>
      <c r="J144" s="1"/>
      <c r="K144" s="1"/>
      <c r="L144" s="1"/>
    </row>
    <row r="145" spans="1:12" x14ac:dyDescent="0.3">
      <c r="A145" s="1"/>
      <c r="B145" s="1"/>
      <c r="C145" s="1"/>
      <c r="D145" s="1"/>
      <c r="E145" s="1"/>
      <c r="F145" s="1"/>
      <c r="G145" s="1"/>
      <c r="H145" s="1"/>
      <c r="I145" s="1"/>
      <c r="J145" s="1"/>
      <c r="K145" s="1"/>
      <c r="L145" s="1"/>
    </row>
    <row r="146" spans="1:12" x14ac:dyDescent="0.3">
      <c r="A146" s="1"/>
      <c r="B146" s="1"/>
      <c r="C146" s="1"/>
      <c r="D146" s="1"/>
      <c r="E146" s="1"/>
      <c r="F146" s="1"/>
      <c r="G146" s="1"/>
      <c r="H146" s="1"/>
      <c r="I146" s="1"/>
      <c r="J146" s="1"/>
      <c r="K146" s="1"/>
      <c r="L146" s="1"/>
    </row>
    <row r="147" spans="1:12" x14ac:dyDescent="0.3">
      <c r="A147" s="1"/>
      <c r="B147" s="1"/>
      <c r="C147" s="1"/>
      <c r="D147" s="1"/>
      <c r="E147" s="1"/>
      <c r="F147" s="1"/>
      <c r="G147" s="1"/>
      <c r="H147" s="1"/>
      <c r="I147" s="1"/>
      <c r="J147" s="1"/>
      <c r="K147" s="1"/>
      <c r="L147" s="1"/>
    </row>
    <row r="148" spans="1:12" x14ac:dyDescent="0.3">
      <c r="A148" s="1"/>
      <c r="B148" s="1"/>
      <c r="C148" s="1"/>
      <c r="D148" s="1"/>
      <c r="E148" s="1"/>
      <c r="F148" s="1"/>
      <c r="G148" s="1"/>
      <c r="H148" s="1"/>
      <c r="I148" s="1"/>
      <c r="J148" s="1"/>
      <c r="K148" s="1"/>
      <c r="L148" s="1"/>
    </row>
    <row r="149" spans="1:12" x14ac:dyDescent="0.3">
      <c r="A149" s="1"/>
      <c r="B149" s="1"/>
      <c r="C149" s="1"/>
      <c r="D149" s="1"/>
      <c r="E149" s="1"/>
      <c r="F149" s="1"/>
      <c r="G149" s="1"/>
      <c r="H149" s="1"/>
      <c r="I149" s="1"/>
      <c r="J149" s="1"/>
      <c r="K149" s="1"/>
      <c r="L149" s="1"/>
    </row>
    <row r="150" spans="1:12" x14ac:dyDescent="0.3">
      <c r="A150" s="1"/>
      <c r="B150" s="1"/>
      <c r="C150" s="1"/>
      <c r="D150" s="1"/>
      <c r="E150" s="1"/>
      <c r="F150" s="1"/>
      <c r="G150" s="1"/>
      <c r="H150" s="1"/>
      <c r="I150" s="1"/>
      <c r="J150" s="1"/>
      <c r="K150" s="1"/>
      <c r="L150" s="1"/>
    </row>
    <row r="151" spans="1:12" x14ac:dyDescent="0.3">
      <c r="A151" s="1"/>
      <c r="B151" s="1"/>
      <c r="C151" s="1"/>
      <c r="D151" s="1"/>
      <c r="E151" s="1"/>
      <c r="F151" s="1"/>
      <c r="G151" s="1"/>
      <c r="H151" s="1"/>
      <c r="I151" s="1"/>
      <c r="J151" s="1"/>
      <c r="K151" s="1"/>
      <c r="L151" s="1"/>
    </row>
    <row r="152" spans="1:12" x14ac:dyDescent="0.3">
      <c r="A152" s="1"/>
      <c r="B152" s="1"/>
      <c r="C152" s="1"/>
      <c r="D152" s="1"/>
      <c r="E152" s="1"/>
      <c r="F152" s="1"/>
      <c r="G152" s="1"/>
      <c r="H152" s="1"/>
      <c r="I152" s="1"/>
      <c r="J152" s="1"/>
      <c r="K152" s="1"/>
      <c r="L152" s="1"/>
    </row>
    <row r="153" spans="1:12" x14ac:dyDescent="0.3">
      <c r="A153" s="1"/>
      <c r="B153" s="1"/>
      <c r="C153" s="1"/>
      <c r="D153" s="1"/>
      <c r="E153" s="1"/>
      <c r="F153" s="1"/>
      <c r="G153" s="1"/>
      <c r="H153" s="1"/>
      <c r="I153" s="1"/>
      <c r="J153" s="1"/>
      <c r="K153" s="1"/>
      <c r="L153" s="1"/>
    </row>
    <row r="154" spans="1:12" x14ac:dyDescent="0.3">
      <c r="A154" s="1"/>
      <c r="B154" s="1"/>
      <c r="C154" s="1"/>
      <c r="D154" s="1"/>
      <c r="E154" s="1"/>
      <c r="F154" s="1"/>
      <c r="G154" s="1"/>
      <c r="H154" s="1"/>
      <c r="I154" s="1"/>
      <c r="J154" s="1"/>
      <c r="K154" s="1"/>
      <c r="L154" s="1"/>
    </row>
    <row r="155" spans="1:12" x14ac:dyDescent="0.3">
      <c r="A155" s="1"/>
      <c r="B155" s="1"/>
      <c r="C155" s="1"/>
      <c r="D155" s="1"/>
      <c r="E155" s="1"/>
      <c r="F155" s="1"/>
      <c r="G155" s="1"/>
      <c r="H155" s="1"/>
      <c r="I155" s="1"/>
      <c r="J155" s="1"/>
      <c r="K155" s="1"/>
      <c r="L155" s="1"/>
    </row>
    <row r="156" spans="1:12" x14ac:dyDescent="0.3">
      <c r="A156" s="1"/>
      <c r="B156" s="1"/>
      <c r="C156" s="1"/>
      <c r="D156" s="1"/>
      <c r="E156" s="1"/>
      <c r="F156" s="1"/>
      <c r="G156" s="1"/>
      <c r="H156" s="1"/>
      <c r="I156" s="1"/>
      <c r="J156" s="1"/>
      <c r="K156" s="1"/>
      <c r="L156" s="1"/>
    </row>
    <row r="157" spans="1:12" x14ac:dyDescent="0.3">
      <c r="A157" s="1"/>
      <c r="B157" s="1"/>
      <c r="C157" s="1"/>
      <c r="D157" s="1"/>
      <c r="E157" s="1"/>
      <c r="F157" s="1"/>
      <c r="G157" s="1"/>
      <c r="H157" s="1"/>
      <c r="I157" s="1"/>
      <c r="J157" s="1"/>
      <c r="K157" s="1"/>
      <c r="L157" s="1"/>
    </row>
    <row r="158" spans="1:12" x14ac:dyDescent="0.3">
      <c r="A158" s="1"/>
      <c r="B158" s="1"/>
      <c r="C158" s="1"/>
      <c r="D158" s="1"/>
      <c r="E158" s="1"/>
      <c r="F158" s="1"/>
      <c r="G158" s="1"/>
      <c r="H158" s="1"/>
      <c r="I158" s="1"/>
      <c r="J158" s="1"/>
      <c r="K158" s="1"/>
      <c r="L158" s="1"/>
    </row>
    <row r="159" spans="1:12" x14ac:dyDescent="0.3">
      <c r="A159" s="1"/>
      <c r="B159" s="1"/>
      <c r="C159" s="1"/>
      <c r="D159" s="1"/>
      <c r="E159" s="1"/>
      <c r="F159" s="1"/>
      <c r="G159" s="1"/>
      <c r="H159" s="1"/>
      <c r="I159" s="1"/>
      <c r="J159" s="1"/>
      <c r="K159" s="1"/>
      <c r="L159" s="1"/>
    </row>
    <row r="160" spans="1:12" x14ac:dyDescent="0.3">
      <c r="A160" s="1"/>
      <c r="B160" s="1"/>
      <c r="C160" s="1"/>
      <c r="D160" s="1"/>
      <c r="E160" s="1"/>
      <c r="F160" s="1"/>
      <c r="G160" s="1"/>
      <c r="H160" s="1"/>
      <c r="I160" s="1"/>
      <c r="J160" s="1"/>
      <c r="K160" s="1"/>
      <c r="L160" s="1"/>
    </row>
    <row r="161" spans="1:12" x14ac:dyDescent="0.3">
      <c r="A161" s="1"/>
      <c r="B161" s="1"/>
      <c r="C161" s="1"/>
      <c r="D161" s="1"/>
      <c r="E161" s="1"/>
      <c r="F161" s="1"/>
      <c r="G161" s="1"/>
      <c r="H161" s="1"/>
      <c r="I161" s="1"/>
      <c r="J161" s="1"/>
      <c r="K161" s="1"/>
      <c r="L161" s="1"/>
    </row>
    <row r="162" spans="1:12" x14ac:dyDescent="0.3">
      <c r="A162" s="1"/>
      <c r="B162" s="1"/>
      <c r="C162" s="1"/>
      <c r="D162" s="1"/>
      <c r="E162" s="1"/>
      <c r="F162" s="1"/>
      <c r="G162" s="1"/>
      <c r="H162" s="1"/>
      <c r="I162" s="1"/>
      <c r="J162" s="1"/>
      <c r="K162" s="1"/>
      <c r="L162" s="1"/>
    </row>
    <row r="163" spans="1:12" x14ac:dyDescent="0.3">
      <c r="A163" s="1"/>
      <c r="B163" s="1"/>
      <c r="C163" s="1"/>
      <c r="D163" s="1"/>
      <c r="E163" s="1"/>
      <c r="F163" s="1"/>
      <c r="G163" s="1"/>
      <c r="H163" s="1"/>
      <c r="I163" s="1"/>
      <c r="J163" s="1"/>
      <c r="K163" s="1"/>
      <c r="L163" s="1"/>
    </row>
    <row r="164" spans="1:12" x14ac:dyDescent="0.3">
      <c r="A164" s="1"/>
      <c r="B164" s="1"/>
      <c r="C164" s="1"/>
      <c r="D164" s="1"/>
      <c r="E164" s="1"/>
      <c r="F164" s="1"/>
      <c r="G164" s="1"/>
      <c r="H164" s="1"/>
      <c r="I164" s="1"/>
      <c r="J164" s="1"/>
      <c r="K164" s="1"/>
      <c r="L164" s="1"/>
    </row>
    <row r="165" spans="1:12" x14ac:dyDescent="0.3">
      <c r="A165" s="1"/>
      <c r="B165" s="1"/>
      <c r="C165" s="1"/>
      <c r="D165" s="1"/>
      <c r="E165" s="1"/>
      <c r="F165" s="1"/>
      <c r="G165" s="1"/>
      <c r="H165" s="1"/>
      <c r="I165" s="1"/>
      <c r="J165" s="1"/>
      <c r="K165" s="1"/>
      <c r="L165" s="1"/>
    </row>
    <row r="166" spans="1:12" x14ac:dyDescent="0.3">
      <c r="A166" s="1"/>
      <c r="B166" s="1"/>
      <c r="C166" s="1"/>
      <c r="D166" s="1"/>
      <c r="E166" s="1"/>
      <c r="F166" s="1"/>
      <c r="G166" s="1"/>
      <c r="H166" s="1"/>
      <c r="I166" s="1"/>
      <c r="J166" s="1"/>
      <c r="K166" s="1"/>
      <c r="L166" s="1"/>
    </row>
    <row r="167" spans="1:12" x14ac:dyDescent="0.3">
      <c r="A167" s="1"/>
      <c r="B167" s="1"/>
      <c r="C167" s="1"/>
      <c r="D167" s="1"/>
      <c r="E167" s="1"/>
      <c r="F167" s="1"/>
      <c r="G167" s="1"/>
      <c r="H167" s="1"/>
      <c r="I167" s="1"/>
      <c r="J167" s="1"/>
      <c r="K167" s="1"/>
      <c r="L167" s="1"/>
    </row>
    <row r="168" spans="1:12" x14ac:dyDescent="0.3">
      <c r="A168" s="1"/>
      <c r="B168" s="1"/>
      <c r="C168" s="1"/>
      <c r="D168" s="1"/>
      <c r="E168" s="1"/>
      <c r="F168" s="1"/>
      <c r="G168" s="1"/>
      <c r="H168" s="1"/>
      <c r="I168" s="1"/>
      <c r="J168" s="1"/>
      <c r="K168" s="1"/>
      <c r="L168" s="1"/>
    </row>
    <row r="169" spans="1:12" x14ac:dyDescent="0.3">
      <c r="A169" s="1"/>
      <c r="B169" s="1"/>
      <c r="C169" s="1"/>
      <c r="D169" s="1"/>
      <c r="E169" s="1"/>
      <c r="F169" s="1"/>
      <c r="G169" s="1"/>
      <c r="H169" s="1"/>
      <c r="I169" s="1"/>
      <c r="J169" s="1"/>
      <c r="K169" s="1"/>
      <c r="L169" s="1"/>
    </row>
    <row r="170" spans="1:12" x14ac:dyDescent="0.3">
      <c r="A170" s="1"/>
      <c r="B170" s="1"/>
      <c r="C170" s="1"/>
      <c r="D170" s="1"/>
      <c r="E170" s="1"/>
      <c r="F170" s="1"/>
      <c r="G170" s="1"/>
      <c r="H170" s="1"/>
      <c r="I170" s="1"/>
      <c r="J170" s="1"/>
      <c r="K170" s="1"/>
      <c r="L170" s="1"/>
    </row>
    <row r="171" spans="1:12" x14ac:dyDescent="0.3">
      <c r="A171" s="1"/>
      <c r="B171" s="1"/>
      <c r="C171" s="1"/>
      <c r="D171" s="1"/>
      <c r="E171" s="1"/>
      <c r="F171" s="1"/>
      <c r="G171" s="1"/>
      <c r="H171" s="1"/>
      <c r="I171" s="1"/>
      <c r="J171" s="1"/>
      <c r="K171" s="1"/>
      <c r="L171" s="1"/>
    </row>
    <row r="172" spans="1:12" x14ac:dyDescent="0.3">
      <c r="A172" s="1"/>
      <c r="B172" s="1"/>
      <c r="C172" s="1"/>
      <c r="D172" s="1"/>
      <c r="E172" s="1"/>
      <c r="F172" s="1"/>
      <c r="G172" s="1"/>
      <c r="H172" s="1"/>
      <c r="I172" s="1"/>
      <c r="J172" s="1"/>
      <c r="K172" s="1"/>
      <c r="L172" s="1"/>
    </row>
    <row r="173" spans="1:12" x14ac:dyDescent="0.3">
      <c r="A173" s="1"/>
      <c r="B173" s="1"/>
      <c r="C173" s="1"/>
      <c r="D173" s="1"/>
      <c r="E173" s="1"/>
      <c r="F173" s="1"/>
      <c r="G173" s="1"/>
      <c r="H173" s="1"/>
      <c r="I173" s="1"/>
      <c r="J173" s="1"/>
      <c r="K173" s="1"/>
      <c r="L173" s="1"/>
    </row>
    <row r="174" spans="1:12" x14ac:dyDescent="0.3">
      <c r="A174" s="1"/>
      <c r="B174" s="1"/>
      <c r="C174" s="1"/>
      <c r="D174" s="1"/>
      <c r="E174" s="1"/>
      <c r="F174" s="1"/>
      <c r="G174" s="1"/>
      <c r="H174" s="1"/>
      <c r="I174" s="1"/>
      <c r="J174" s="1"/>
      <c r="K174" s="1"/>
      <c r="L174" s="1"/>
    </row>
    <row r="175" spans="1:12" x14ac:dyDescent="0.3">
      <c r="A175" s="1"/>
      <c r="B175" s="1"/>
      <c r="C175" s="1"/>
      <c r="D175" s="1"/>
      <c r="E175" s="1"/>
      <c r="F175" s="1"/>
      <c r="G175" s="1"/>
      <c r="H175" s="1"/>
      <c r="I175" s="1"/>
      <c r="J175" s="1"/>
      <c r="K175" s="1"/>
      <c r="L175" s="1"/>
    </row>
    <row r="176" spans="1:12" x14ac:dyDescent="0.3">
      <c r="A176" s="1"/>
      <c r="B176" s="1"/>
      <c r="C176" s="1"/>
      <c r="D176" s="1"/>
      <c r="E176" s="1"/>
      <c r="F176" s="1"/>
      <c r="G176" s="1"/>
      <c r="H176" s="1"/>
      <c r="I176" s="1"/>
      <c r="J176" s="1"/>
      <c r="K176" s="1"/>
      <c r="L176" s="1"/>
    </row>
    <row r="177" spans="1:12" x14ac:dyDescent="0.3">
      <c r="A177" s="1"/>
      <c r="B177" s="1"/>
      <c r="C177" s="1"/>
      <c r="D177" s="1"/>
      <c r="E177" s="1"/>
      <c r="F177" s="1"/>
      <c r="G177" s="1"/>
      <c r="H177" s="1"/>
      <c r="I177" s="1"/>
      <c r="J177" s="1"/>
      <c r="K177" s="1"/>
      <c r="L177" s="1"/>
    </row>
    <row r="178" spans="1:12" x14ac:dyDescent="0.3">
      <c r="A178" s="1"/>
      <c r="B178" s="1"/>
      <c r="C178" s="1"/>
      <c r="D178" s="1"/>
      <c r="E178" s="1"/>
      <c r="F178" s="1"/>
      <c r="G178" s="1"/>
      <c r="H178" s="1"/>
      <c r="I178" s="1"/>
      <c r="J178" s="1"/>
      <c r="K178" s="1"/>
      <c r="L178" s="1"/>
    </row>
    <row r="179" spans="1:12" x14ac:dyDescent="0.3">
      <c r="A179" s="1"/>
      <c r="B179" s="1"/>
      <c r="C179" s="1"/>
      <c r="D179" s="1"/>
      <c r="E179" s="1"/>
      <c r="F179" s="1"/>
      <c r="G179" s="1"/>
      <c r="H179" s="1"/>
      <c r="I179" s="1"/>
      <c r="J179" s="1"/>
      <c r="K179" s="1"/>
      <c r="L179" s="1"/>
    </row>
    <row r="180" spans="1:12" x14ac:dyDescent="0.3">
      <c r="A180" s="1"/>
      <c r="B180" s="1"/>
      <c r="C180" s="1"/>
      <c r="D180" s="1"/>
      <c r="E180" s="1"/>
      <c r="F180" s="1"/>
      <c r="G180" s="1"/>
      <c r="H180" s="1"/>
      <c r="I180" s="1"/>
      <c r="J180" s="1"/>
      <c r="K180" s="1"/>
      <c r="L180" s="1"/>
    </row>
    <row r="181" spans="1:12" x14ac:dyDescent="0.3">
      <c r="A181" s="1"/>
      <c r="B181" s="1"/>
      <c r="C181" s="1"/>
      <c r="D181" s="1"/>
      <c r="E181" s="1"/>
      <c r="F181" s="1"/>
      <c r="G181" s="1"/>
      <c r="H181" s="1"/>
      <c r="I181" s="1"/>
      <c r="J181" s="1"/>
      <c r="K181" s="1"/>
      <c r="L181" s="1"/>
    </row>
    <row r="182" spans="1:12" x14ac:dyDescent="0.3">
      <c r="A182" s="1"/>
      <c r="B182" s="1"/>
      <c r="C182" s="1"/>
      <c r="D182" s="1"/>
      <c r="E182" s="1"/>
      <c r="F182" s="1"/>
      <c r="G182" s="1"/>
      <c r="H182" s="1"/>
      <c r="I182" s="1"/>
      <c r="J182" s="1"/>
      <c r="K182" s="1"/>
      <c r="L182" s="1"/>
    </row>
    <row r="183" spans="1:12" x14ac:dyDescent="0.3">
      <c r="A183" s="1"/>
      <c r="B183" s="1"/>
      <c r="C183" s="1"/>
      <c r="D183" s="1"/>
      <c r="E183" s="1"/>
      <c r="F183" s="1"/>
      <c r="G183" s="1"/>
      <c r="H183" s="1"/>
      <c r="I183" s="1"/>
      <c r="J183" s="1"/>
      <c r="K183" s="1"/>
      <c r="L183" s="1"/>
    </row>
    <row r="184" spans="1:12" x14ac:dyDescent="0.3">
      <c r="A184" s="1"/>
      <c r="B184" s="1"/>
      <c r="C184" s="1"/>
      <c r="D184" s="1"/>
      <c r="E184" s="1"/>
      <c r="F184" s="1"/>
      <c r="G184" s="1"/>
      <c r="H184" s="1"/>
      <c r="I184" s="1"/>
      <c r="J184" s="1"/>
      <c r="K184" s="1"/>
      <c r="L184" s="1"/>
    </row>
    <row r="185" spans="1:12" x14ac:dyDescent="0.3">
      <c r="A185" s="1"/>
      <c r="B185" s="1"/>
      <c r="C185" s="1"/>
      <c r="D185" s="1"/>
      <c r="E185" s="1"/>
      <c r="F185" s="1"/>
      <c r="G185" s="1"/>
      <c r="H185" s="1"/>
      <c r="I185" s="1"/>
      <c r="J185" s="1"/>
      <c r="K185" s="1"/>
      <c r="L185" s="1"/>
    </row>
    <row r="186" spans="1:12" x14ac:dyDescent="0.3">
      <c r="A186" s="1"/>
      <c r="B186" s="1"/>
      <c r="C186" s="1"/>
      <c r="D186" s="1"/>
      <c r="E186" s="1"/>
      <c r="F186" s="1"/>
      <c r="G186" s="1"/>
      <c r="H186" s="1"/>
      <c r="I186" s="1"/>
      <c r="J186" s="1"/>
      <c r="K186" s="1"/>
      <c r="L186" s="1"/>
    </row>
    <row r="187" spans="1:12" x14ac:dyDescent="0.3">
      <c r="A187" s="1"/>
      <c r="B187" s="1"/>
      <c r="C187" s="1"/>
      <c r="D187" s="1"/>
      <c r="E187" s="1"/>
      <c r="F187" s="1"/>
      <c r="G187" s="1"/>
      <c r="H187" s="1"/>
      <c r="I187" s="1"/>
      <c r="J187" s="1"/>
      <c r="K187" s="1"/>
      <c r="L187" s="1"/>
    </row>
    <row r="188" spans="1:12" x14ac:dyDescent="0.3">
      <c r="A188" s="1"/>
      <c r="B188" s="1"/>
      <c r="C188" s="1"/>
      <c r="D188" s="1"/>
      <c r="E188" s="1"/>
      <c r="F188" s="1"/>
      <c r="G188" s="1"/>
      <c r="H188" s="1"/>
      <c r="I188" s="1"/>
      <c r="J188" s="1"/>
      <c r="K188" s="1"/>
      <c r="L188" s="1"/>
    </row>
    <row r="189" spans="1:12" x14ac:dyDescent="0.3">
      <c r="A189" s="1"/>
      <c r="B189" s="1"/>
      <c r="C189" s="1"/>
      <c r="D189" s="1"/>
      <c r="E189" s="1"/>
      <c r="F189" s="1"/>
      <c r="G189" s="1"/>
      <c r="H189" s="1"/>
      <c r="I189" s="1"/>
      <c r="J189" s="1"/>
      <c r="K189" s="1"/>
      <c r="L189" s="1"/>
    </row>
    <row r="190" spans="1:12" x14ac:dyDescent="0.3">
      <c r="A190" s="1"/>
      <c r="B190" s="1"/>
      <c r="C190" s="1"/>
      <c r="D190" s="1"/>
      <c r="E190" s="1"/>
      <c r="F190" s="1"/>
      <c r="G190" s="1"/>
      <c r="H190" s="1"/>
      <c r="I190" s="1"/>
      <c r="J190" s="1"/>
      <c r="K190" s="1"/>
      <c r="L190" s="1"/>
    </row>
    <row r="191" spans="1:12" x14ac:dyDescent="0.3">
      <c r="A191" s="1"/>
      <c r="B191" s="1"/>
      <c r="C191" s="1"/>
      <c r="D191" s="1"/>
      <c r="E191" s="1"/>
      <c r="F191" s="1"/>
      <c r="G191" s="1"/>
      <c r="H191" s="1"/>
      <c r="I191" s="1"/>
      <c r="J191" s="1"/>
      <c r="K191" s="1"/>
      <c r="L191" s="1"/>
    </row>
    <row r="192" spans="1:12" x14ac:dyDescent="0.3">
      <c r="A192" s="1"/>
      <c r="B192" s="1"/>
      <c r="C192" s="1"/>
      <c r="D192" s="1"/>
      <c r="E192" s="1"/>
      <c r="F192" s="1"/>
      <c r="G192" s="1"/>
      <c r="H192" s="1"/>
      <c r="I192" s="1"/>
      <c r="J192" s="1"/>
      <c r="K192" s="1"/>
      <c r="L192" s="1"/>
    </row>
    <row r="193" spans="1:12" x14ac:dyDescent="0.3">
      <c r="A193" s="1"/>
      <c r="B193" s="1"/>
      <c r="C193" s="1"/>
      <c r="D193" s="1"/>
      <c r="E193" s="1"/>
      <c r="F193" s="1"/>
      <c r="G193" s="1"/>
      <c r="H193" s="1"/>
      <c r="I193" s="1"/>
      <c r="J193" s="1"/>
      <c r="K193" s="1"/>
      <c r="L193" s="1"/>
    </row>
    <row r="194" spans="1:12" x14ac:dyDescent="0.3">
      <c r="A194" s="1"/>
      <c r="B194" s="1"/>
      <c r="C194" s="1"/>
      <c r="D194" s="1"/>
      <c r="E194" s="1"/>
      <c r="F194" s="1"/>
      <c r="G194" s="1"/>
      <c r="H194" s="1"/>
      <c r="I194" s="1"/>
      <c r="J194" s="1"/>
      <c r="K194" s="1"/>
      <c r="L194" s="1"/>
    </row>
    <row r="195" spans="1:12" x14ac:dyDescent="0.3">
      <c r="A195" s="1"/>
      <c r="B195" s="1"/>
      <c r="C195" s="1"/>
      <c r="D195" s="1"/>
      <c r="E195" s="1"/>
      <c r="F195" s="1"/>
      <c r="G195" s="1"/>
      <c r="H195" s="1"/>
      <c r="I195" s="1"/>
      <c r="J195" s="1"/>
      <c r="K195" s="1"/>
      <c r="L195" s="1"/>
    </row>
    <row r="196" spans="1:12" x14ac:dyDescent="0.3">
      <c r="A196" s="1"/>
      <c r="B196" s="1"/>
      <c r="C196" s="1"/>
      <c r="D196" s="1"/>
      <c r="E196" s="1"/>
      <c r="F196" s="1"/>
      <c r="G196" s="1"/>
      <c r="H196" s="1"/>
      <c r="I196" s="1"/>
      <c r="J196" s="1"/>
      <c r="K196" s="1"/>
      <c r="L196" s="1"/>
    </row>
    <row r="197" spans="1:12" x14ac:dyDescent="0.3">
      <c r="A197" s="1"/>
      <c r="B197" s="1"/>
      <c r="C197" s="1"/>
      <c r="D197" s="1"/>
      <c r="E197" s="1"/>
      <c r="F197" s="1"/>
      <c r="G197" s="1"/>
      <c r="H197" s="1"/>
      <c r="I197" s="1"/>
      <c r="J197" s="1"/>
      <c r="K197" s="1"/>
      <c r="L197" s="1"/>
    </row>
    <row r="198" spans="1:12" x14ac:dyDescent="0.3">
      <c r="A198" s="1"/>
      <c r="B198" s="1"/>
      <c r="C198" s="1"/>
      <c r="D198" s="1"/>
      <c r="E198" s="1"/>
      <c r="F198" s="1"/>
      <c r="G198" s="1"/>
      <c r="H198" s="1"/>
      <c r="I198" s="1"/>
      <c r="J198" s="1"/>
      <c r="K198" s="1"/>
      <c r="L198" s="1"/>
    </row>
    <row r="199" spans="1:12" x14ac:dyDescent="0.3">
      <c r="A199" s="1"/>
      <c r="B199" s="1"/>
      <c r="C199" s="1"/>
      <c r="D199" s="1"/>
      <c r="E199" s="1"/>
      <c r="F199" s="1"/>
      <c r="G199" s="1"/>
      <c r="H199" s="1"/>
      <c r="I199" s="1"/>
      <c r="J199" s="1"/>
      <c r="K199" s="1"/>
      <c r="L199" s="1"/>
    </row>
    <row r="200" spans="1:12" x14ac:dyDescent="0.3">
      <c r="A200" s="1"/>
      <c r="B200" s="1"/>
      <c r="C200" s="1"/>
      <c r="D200" s="1"/>
      <c r="E200" s="1"/>
      <c r="F200" s="1"/>
      <c r="G200" s="1"/>
      <c r="H200" s="1"/>
      <c r="I200" s="1"/>
      <c r="J200" s="1"/>
      <c r="K200" s="1"/>
      <c r="L200" s="1"/>
    </row>
  </sheetData>
  <mergeCells count="2">
    <mergeCell ref="A6:C6"/>
    <mergeCell ref="E6:G6"/>
  </mergeCells>
  <pageMargins left="0.7" right="0.7" top="0.75" bottom="0.75" header="0.3" footer="0.3"/>
  <drawing r:id="rId1"/>
  <legacyDrawing r:id="rId2"/>
  <controls>
    <mc:AlternateContent xmlns:mc="http://schemas.openxmlformats.org/markup-compatibility/2006">
      <mc:Choice Requires="x14">
        <control shapeId="22530" r:id="rId3" name="CommandButton2">
          <controlPr defaultSize="0" autoLine="0" r:id="rId4">
            <anchor moveWithCells="1">
              <from>
                <xdr:col>9</xdr:col>
                <xdr:colOff>845820</xdr:colOff>
                <xdr:row>18</xdr:row>
                <xdr:rowOff>30480</xdr:rowOff>
              </from>
              <to>
                <xdr:col>11</xdr:col>
                <xdr:colOff>228600</xdr:colOff>
                <xdr:row>21</xdr:row>
                <xdr:rowOff>38100</xdr:rowOff>
              </to>
            </anchor>
          </controlPr>
        </control>
      </mc:Choice>
      <mc:Fallback>
        <control shapeId="22530" r:id="rId3" name="CommandButton2"/>
      </mc:Fallback>
    </mc:AlternateContent>
    <mc:AlternateContent xmlns:mc="http://schemas.openxmlformats.org/markup-compatibility/2006">
      <mc:Choice Requires="x14">
        <control shapeId="22529" r:id="rId5" name="CommandButton1">
          <controlPr defaultSize="0" autoLine="0" r:id="rId6">
            <anchor moveWithCells="1">
              <from>
                <xdr:col>0</xdr:col>
                <xdr:colOff>0</xdr:colOff>
                <xdr:row>18</xdr:row>
                <xdr:rowOff>30480</xdr:rowOff>
              </from>
              <to>
                <xdr:col>1</xdr:col>
                <xdr:colOff>365760</xdr:colOff>
                <xdr:row>21</xdr:row>
                <xdr:rowOff>38100</xdr:rowOff>
              </to>
            </anchor>
          </controlPr>
        </control>
      </mc:Choice>
      <mc:Fallback>
        <control shapeId="22529" r:id="rId5" name="CommandButto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EAF16-7FA3-4D44-B7C0-5CE62D27C097}">
  <sheetPr codeName="Sheet16"/>
  <dimension ref="A1:AH120"/>
  <sheetViews>
    <sheetView topLeftCell="K1" workbookViewId="0">
      <selection activeCell="O4" sqref="O4"/>
    </sheetView>
  </sheetViews>
  <sheetFormatPr defaultRowHeight="14.4" x14ac:dyDescent="0.3"/>
  <cols>
    <col min="13" max="13" width="20" customWidth="1"/>
    <col min="14" max="14" width="14.77734375" customWidth="1"/>
    <col min="15" max="15" width="6.77734375" customWidth="1"/>
    <col min="16" max="19" width="11.21875" customWidth="1"/>
    <col min="23" max="23" width="11.21875" customWidth="1"/>
    <col min="28" max="28" width="11.21875" customWidth="1"/>
    <col min="29" max="29" width="17.21875" customWidth="1"/>
  </cols>
  <sheetData>
    <row r="1" spans="1:34" x14ac:dyDescent="0.3">
      <c r="A1" s="8" t="s">
        <v>30</v>
      </c>
      <c r="B1" s="8" t="s">
        <v>34</v>
      </c>
      <c r="C1" s="8" t="s">
        <v>31</v>
      </c>
      <c r="D1" s="9" t="s">
        <v>35</v>
      </c>
      <c r="E1" s="8" t="s">
        <v>30</v>
      </c>
      <c r="F1" s="8" t="s">
        <v>34</v>
      </c>
      <c r="G1" s="8" t="s">
        <v>31</v>
      </c>
      <c r="H1" s="9" t="s">
        <v>35</v>
      </c>
      <c r="I1" s="8" t="s">
        <v>30</v>
      </c>
      <c r="J1" s="8" t="s">
        <v>34</v>
      </c>
      <c r="K1" s="8" t="s">
        <v>31</v>
      </c>
      <c r="L1" s="9" t="s">
        <v>35</v>
      </c>
      <c r="M1" s="6" t="s">
        <v>37</v>
      </c>
      <c r="N1" s="6" t="s">
        <v>38</v>
      </c>
      <c r="O1" s="6" t="s">
        <v>20</v>
      </c>
      <c r="P1" s="6" t="s">
        <v>36</v>
      </c>
      <c r="Q1" s="6" t="s">
        <v>41</v>
      </c>
      <c r="R1" s="6" t="s">
        <v>32</v>
      </c>
      <c r="S1" s="6" t="s">
        <v>42</v>
      </c>
      <c r="T1" s="6" t="s">
        <v>39</v>
      </c>
      <c r="U1" s="6" t="s">
        <v>40</v>
      </c>
      <c r="V1" s="6" t="s">
        <v>20</v>
      </c>
      <c r="W1" s="6" t="s">
        <v>36</v>
      </c>
      <c r="X1" s="6" t="s">
        <v>41</v>
      </c>
      <c r="Y1" s="6" t="s">
        <v>32</v>
      </c>
      <c r="Z1" s="6" t="s">
        <v>42</v>
      </c>
      <c r="AB1" s="6" t="s">
        <v>49</v>
      </c>
      <c r="AC1" s="6" t="s">
        <v>50</v>
      </c>
      <c r="AE1" t="str" cm="1">
        <f t="array" aca="1" ref="AE1:AH9" ca="1">_xlfn.VSTACK(_xlfn._xlws.FILTER(P:S, (S:S&lt;&gt;"")*(S:S&lt;&gt;"Total Score")*(ISNA(S:S)=FALSE)), _xlfn._xlws.FILTER(W:Z, (X:X&lt;&gt;"")*(X:X&lt;&gt;"Total Score")*(ISNA(X:X)=FALSE)))</f>
        <v>Actual Team</v>
      </c>
      <c r="AF1" t="str">
        <f ca="1"/>
        <v>Total Score</v>
      </c>
      <c r="AG1" t="str">
        <f ca="1"/>
        <v>Margin</v>
      </c>
      <c r="AH1" t="str">
        <f ca="1"/>
        <v>Points</v>
      </c>
    </row>
    <row r="2" spans="1:34" x14ac:dyDescent="0.3">
      <c r="A2" t="str" cm="1">
        <f t="array" aca="1" ref="A2:B7" ca="1">IFERROR(_xlfn._xlws.FILTER('Round 2'!$A:$A, ('Round 2'!$A:$A&lt;&gt;"")*('Round 2'!#REF!&lt;&gt;"Affirmative")), "")</f>
        <v>Jess Zhang</v>
      </c>
      <c r="B2">
        <f ca="1"/>
        <v>76</v>
      </c>
      <c r="C2" t="str" cm="1">
        <f t="array" aca="1" ref="C2:D7" ca="1">IFERROR(_xlfn._xlws.FILTER('Round 2'!$D:$E, ('Round 2'!$E:$E&lt;&gt;"")*('Round 2'!$D:$D&lt;&gt;"Negative")), "")</f>
        <v>Amy Zander</v>
      </c>
      <c r="D2">
        <f ca="1"/>
        <v>75</v>
      </c>
      <c r="E2" t="str" cm="1">
        <f t="array" aca="1" ref="E2:F7" ca="1">IFERROR(_xlfn._xlws.FILTER('Round 2'!$G:$I, ('Round 2'!$I:$I&lt;&gt;"")*('Round 2'!$G:$G&lt;&gt;"Affirmative")), "")</f>
        <v>Aaryan Goriyaan</v>
      </c>
      <c r="F2">
        <f ca="1"/>
        <v>71</v>
      </c>
      <c r="G2" t="str" cm="1">
        <f t="array" aca="1" ref="G2:H7" ca="1">IFERROR(_xlfn._xlws.FILTER('Round 2'!$K:$L, ('Round 2'!$L:$L&lt;&gt;"")*('Round 2'!$K:$K&lt;&gt;"Negative")), "")</f>
        <v>Janice Stanzah</v>
      </c>
      <c r="H2">
        <f ca="1"/>
        <v>71</v>
      </c>
      <c r="I2" t="str" cm="1">
        <f t="array" aca="1" ref="I2" ca="1">IFERROR(_xlfn._xlws.FILTER('Round 2'!$N:$O, ('Round 2'!$O:$O&lt;&gt;"")*('Round 2'!$N:$N&lt;&gt;"Affirmative")), "")</f>
        <v/>
      </c>
      <c r="K2" t="str" cm="1">
        <f t="array" aca="1" ref="K2" ca="1">IFERROR(_xlfn._xlws.FILTER('Round 2'!$P:$Q, ('Round 2'!$Q:$Q&lt;&gt;"")*('Round 2'!$P:$P&lt;&gt;"Negative")), "")</f>
        <v/>
      </c>
      <c r="M2" t="str" cm="1">
        <f t="array" aca="1" ref="M2:N14" ca="1">IFERROR(_xlfn.VSTACK(_xlfn.ANCHORARRAY(A2),_xlfn.ANCHORARRAY( E2),_xlfn.ANCHORARRAY( I2)), "")</f>
        <v>Jess Zhang</v>
      </c>
      <c r="N2">
        <f ca="1"/>
        <v>76</v>
      </c>
      <c r="O2">
        <f ca="1">IFERROR(INDEX(Roll!$C:$C, MATCH(M2, Roll!$B:$B, 0)), "")</f>
        <v>10</v>
      </c>
      <c r="P2">
        <f ca="1">IF(O2&lt;&gt;"",IFERROR(MODE(O2:O4), O2), "")</f>
        <v>10</v>
      </c>
      <c r="T2" t="str" cm="1">
        <f t="array" aca="1" ref="T2:U14" ca="1">IFERROR(_xlfn.VSTACK(_xlfn.ANCHORARRAY(C2),_xlfn.ANCHORARRAY( G2),_xlfn.ANCHORARRAY( K2)), "")</f>
        <v>Amy Zander</v>
      </c>
      <c r="U2">
        <f ca="1"/>
        <v>75</v>
      </c>
      <c r="V2">
        <f ca="1">IFERROR(INDEX(Roll!$C:$C, MATCH(T2, Roll!$B:$B, 0)), "")</f>
        <v>3</v>
      </c>
      <c r="W2">
        <f ca="1">IF(V2&lt;&gt;"",IFERROR(MODE(V2:V4), V2), "")</f>
        <v>3</v>
      </c>
      <c r="AB2" t="str" cm="1">
        <f t="array" aca="1" ref="AB2:AC27" ca="1">_xlfn.SORTBY(_xlfn.VSTACK(_xlfn.ANCHORARRAY(A2),_xlfn.ANCHORARRAY( C2),_xlfn.ANCHORARRAY( E2),_xlfn.ANCHORARRAY( G2),_xlfn.ANCHORARRAY( I2),_xlfn.ANCHORARRAY( K2)), INDEX(_xlfn.VSTACK(_xlfn.ANCHORARRAY(A2),_xlfn.ANCHORARRAY( C2),_xlfn.ANCHORARRAY( E2),_xlfn.ANCHORARRAY( G2),_xlfn.ANCHORARRAY( I2),_xlfn.ANCHORARRAY( K2)), , 2), -1)</f>
        <v/>
      </c>
      <c r="AC2" t="e">
        <f ca="1"/>
        <v>#N/A</v>
      </c>
      <c r="AE2">
        <f ca="1"/>
        <v>10</v>
      </c>
      <c r="AF2">
        <f ca="1"/>
        <v>230</v>
      </c>
      <c r="AG2">
        <f ca="1"/>
        <v>6</v>
      </c>
      <c r="AH2">
        <f ca="1"/>
        <v>1</v>
      </c>
    </row>
    <row r="3" spans="1:34" x14ac:dyDescent="0.3">
      <c r="A3" t="str">
        <f ca="1"/>
        <v>Oliver Kleinig</v>
      </c>
      <c r="B3">
        <f ca="1"/>
        <v>77</v>
      </c>
      <c r="C3" t="str">
        <f ca="1"/>
        <v>Harry Elliott</v>
      </c>
      <c r="D3">
        <f ca="1"/>
        <v>74</v>
      </c>
      <c r="E3" t="str">
        <f ca="1"/>
        <v>Tom Kavanagh</v>
      </c>
      <c r="F3">
        <f ca="1"/>
        <v>74</v>
      </c>
      <c r="G3" t="str">
        <f ca="1"/>
        <v>Kerry Yao</v>
      </c>
      <c r="H3">
        <f ca="1"/>
        <v>74</v>
      </c>
      <c r="M3" t="str">
        <f ca="1"/>
        <v>Oliver Kleinig</v>
      </c>
      <c r="N3">
        <f ca="1"/>
        <v>77</v>
      </c>
      <c r="O3">
        <f ca="1">IFERROR(INDEX(Roll!$C:$C, MATCH(M3, Roll!$B:$B, 0)), "")</f>
        <v>10</v>
      </c>
      <c r="P3">
        <f ca="1">IF(O3&lt;&gt;"",IFERROR(MODE(O2:O4), O2), "")</f>
        <v>10</v>
      </c>
      <c r="T3" t="str">
        <f ca="1"/>
        <v>Harry Elliott</v>
      </c>
      <c r="U3">
        <f ca="1"/>
        <v>74</v>
      </c>
      <c r="V3">
        <f ca="1">IFERROR(INDEX(Roll!$C:$C, MATCH(T3, Roll!$B:$B, 0)), "")</f>
        <v>2</v>
      </c>
      <c r="W3">
        <f ca="1">IF(V3&lt;&gt;"",IFERROR(MODE(V2:V4), V2), "")</f>
        <v>3</v>
      </c>
      <c r="AB3" t="str">
        <f ca="1"/>
        <v/>
      </c>
      <c r="AC3" t="e">
        <f ca="1"/>
        <v>#N/A</v>
      </c>
      <c r="AE3">
        <f ca="1"/>
        <v>2</v>
      </c>
      <c r="AF3">
        <f ca="1"/>
        <v>223</v>
      </c>
      <c r="AG3">
        <f ca="1"/>
        <v>-2</v>
      </c>
      <c r="AH3">
        <f ca="1"/>
        <v>0</v>
      </c>
    </row>
    <row r="4" spans="1:34" x14ac:dyDescent="0.3">
      <c r="A4" t="str">
        <f ca="1"/>
        <v> Silas Hansch-Maher</v>
      </c>
      <c r="B4">
        <f ca="1"/>
        <v>77</v>
      </c>
      <c r="C4" t="str">
        <f ca="1"/>
        <v>Roan Bird</v>
      </c>
      <c r="D4">
        <f ca="1"/>
        <v>75</v>
      </c>
      <c r="E4" t="str">
        <f ca="1"/>
        <v>Declan Clarke</v>
      </c>
      <c r="F4">
        <f ca="1"/>
        <v>73</v>
      </c>
      <c r="G4" t="str">
        <f ca="1"/>
        <v>William Prosser</v>
      </c>
      <c r="H4">
        <f ca="1"/>
        <v>72</v>
      </c>
      <c r="M4" t="str">
        <f ca="1"/>
        <v> Silas Hansch-Maher</v>
      </c>
      <c r="N4">
        <f ca="1"/>
        <v>77</v>
      </c>
      <c r="O4">
        <f ca="1">IFERROR(INDEX(Roll!$C:$C, MATCH(M4, Roll!$B:$B, 0)), "")</f>
        <v>10</v>
      </c>
      <c r="P4">
        <f ca="1">IF(O4&lt;&gt;"",IFERROR(MODE(O2:O4), O2), "")</f>
        <v>10</v>
      </c>
      <c r="Q4">
        <f ca="1">IF(N4&lt;&gt;"", IF(MOD(ROW()-1, 3)=0, SUM(N2:N4), ""), "")</f>
        <v>230</v>
      </c>
      <c r="R4">
        <f ca="1">IFERROR(IF(MOD(ROW()-1, 3)=0, Q4-X4, ""), "")</f>
        <v>6</v>
      </c>
      <c r="S4">
        <f ca="1">IF(N4&lt;&gt;"", IF(MOD(ROW()-1, 3)=0, IF((R4&gt;0), 1, 0), ""), "")</f>
        <v>1</v>
      </c>
      <c r="T4" t="str">
        <f ca="1"/>
        <v>Roan Bird</v>
      </c>
      <c r="U4">
        <f ca="1"/>
        <v>75</v>
      </c>
      <c r="V4">
        <f ca="1">IFERROR(INDEX(Roll!$C:$C, MATCH(T4, Roll!$B:$B, 0)), "")</f>
        <v>3</v>
      </c>
      <c r="W4">
        <f ca="1">IF(V4&lt;&gt;"",IFERROR(MODE(V2:V4), V2), "")</f>
        <v>3</v>
      </c>
      <c r="X4">
        <f ca="1">IF(U4&lt;&gt;"", IF(MOD(ROW()-1, 3)=0, SUM(U2:U4), ""), "")</f>
        <v>224</v>
      </c>
      <c r="Y4">
        <f ca="1">IFERROR(IF(MOD(ROW()-1, 3)=0, X4-Q4, ""), "")</f>
        <v>-6</v>
      </c>
      <c r="Z4">
        <f ca="1">IF(U4&lt;&gt;"", IF(MOD(ROW()-1, 3)=0, IF((Y4&gt;0), 1, 0), ""), "")</f>
        <v>0</v>
      </c>
      <c r="AB4" t="str">
        <f ca="1"/>
        <v>Oliver Kleinig</v>
      </c>
      <c r="AC4">
        <f ca="1"/>
        <v>77</v>
      </c>
      <c r="AE4">
        <f ca="1"/>
        <v>9</v>
      </c>
      <c r="AF4">
        <f ca="1"/>
        <v>218</v>
      </c>
      <c r="AG4">
        <f ca="1"/>
        <v>1</v>
      </c>
      <c r="AH4">
        <f ca="1"/>
        <v>1</v>
      </c>
    </row>
    <row r="5" spans="1:34" x14ac:dyDescent="0.3">
      <c r="A5" t="str">
        <f ca="1"/>
        <v>Syme Aftab</v>
      </c>
      <c r="B5">
        <f ca="1"/>
        <v>76</v>
      </c>
      <c r="C5" t="str">
        <f ca="1"/>
        <v>Bede Hansch-Maher</v>
      </c>
      <c r="D5">
        <f ca="1"/>
        <v>75</v>
      </c>
      <c r="E5" t="str">
        <f ca="1"/>
        <v>Isabella Teague</v>
      </c>
      <c r="F5">
        <f ca="1"/>
        <v>76</v>
      </c>
      <c r="G5" t="str">
        <f ca="1"/>
        <v>Yifan Sun</v>
      </c>
      <c r="H5">
        <f ca="1"/>
        <v>75</v>
      </c>
      <c r="M5" t="str">
        <f ca="1"/>
        <v>Syme Aftab</v>
      </c>
      <c r="N5">
        <f ca="1"/>
        <v>76</v>
      </c>
      <c r="O5">
        <f ca="1">IFERROR(INDEX(Roll!$C:$C, MATCH(M5, Roll!$B:$B, 0)), "")</f>
        <v>8</v>
      </c>
      <c r="P5">
        <f ca="1">IF(O5&lt;&gt;"", IFERROR(MODE(O5:O7), O5), "")</f>
        <v>2</v>
      </c>
      <c r="Q5" t="str">
        <f t="shared" ref="Q5:Q60" ca="1" si="0">IF(N5&lt;&gt;"", IF(MOD(ROW()-1, 3)=0, SUM(N3:N5), ""), "")</f>
        <v/>
      </c>
      <c r="R5" t="str">
        <f t="shared" ref="R5:R60" ca="1" si="1">IFERROR(IF(MOD(ROW()-1, 3)=0, Q5-X5, ""), "")</f>
        <v/>
      </c>
      <c r="S5" t="str">
        <f t="shared" ref="S5:S60" ca="1" si="2">IF(N5&lt;&gt;"", IF(MOD(ROW()-1, 3)=0, IF((R5&gt;0), 1, 0), ""), "")</f>
        <v/>
      </c>
      <c r="T5" t="str">
        <f ca="1"/>
        <v>Bede Hansch-Maher</v>
      </c>
      <c r="U5">
        <f ca="1"/>
        <v>75</v>
      </c>
      <c r="V5">
        <f ca="1">IFERROR(INDEX(Roll!$C:$C, MATCH(T5, Roll!$B:$B, 0)), "")</f>
        <v>4</v>
      </c>
      <c r="W5">
        <f ca="1">IF(V5&lt;&gt;"", IFERROR(MODE(V5:V7), V5), "")</f>
        <v>4</v>
      </c>
      <c r="X5" t="str">
        <f t="shared" ref="X5:X60" ca="1" si="3">IF(U5&lt;&gt;"", IF(MOD(ROW()-1, 3)=0, SUM(U3:U5), ""), "")</f>
        <v/>
      </c>
      <c r="Y5" t="str">
        <f t="shared" ref="Y5:Y60" ca="1" si="4">IFERROR(IF(MOD(ROW()-1, 3)=0, X5-Q5, ""), "")</f>
        <v/>
      </c>
      <c r="Z5" t="str">
        <f t="shared" ref="Z5:Z60" ca="1" si="5">IF(U5&lt;&gt;"", IF(MOD(ROW()-1, 3)=0, IF((Y5&gt;0), 1, 0), ""), "")</f>
        <v/>
      </c>
      <c r="AB5" t="str">
        <f ca="1"/>
        <v> Silas Hansch-Maher</v>
      </c>
      <c r="AC5">
        <f ca="1"/>
        <v>77</v>
      </c>
      <c r="AE5">
        <f ca="1"/>
        <v>7</v>
      </c>
      <c r="AF5">
        <f ca="1"/>
        <v>226</v>
      </c>
      <c r="AG5">
        <f ca="1"/>
        <v>1</v>
      </c>
      <c r="AH5">
        <f ca="1"/>
        <v>1</v>
      </c>
    </row>
    <row r="6" spans="1:34" x14ac:dyDescent="0.3">
      <c r="A6" t="str">
        <f ca="1"/>
        <v>Sam Button</v>
      </c>
      <c r="B6">
        <f ca="1"/>
        <v>74</v>
      </c>
      <c r="C6" t="str">
        <f ca="1"/>
        <v>Laura Wright</v>
      </c>
      <c r="D6">
        <f ca="1"/>
        <v>76</v>
      </c>
      <c r="E6" t="str">
        <f ca="1"/>
        <v>Ava Stewart</v>
      </c>
      <c r="F6">
        <f ca="1"/>
        <v>75</v>
      </c>
      <c r="G6" t="str">
        <f ca="1"/>
        <v>Shengyin Bai</v>
      </c>
      <c r="H6">
        <f ca="1"/>
        <v>75</v>
      </c>
      <c r="M6" t="str">
        <f ca="1"/>
        <v>Sam Button</v>
      </c>
      <c r="N6">
        <f ca="1"/>
        <v>74</v>
      </c>
      <c r="O6">
        <f ca="1">IFERROR(INDEX(Roll!$C:$C, MATCH(M6, Roll!$B:$B, 0)), "")</f>
        <v>2</v>
      </c>
      <c r="P6">
        <f ca="1">IF(O6&lt;&gt;"", IFERROR(MODE(O5:O7), O5), "")</f>
        <v>2</v>
      </c>
      <c r="Q6" t="str">
        <f t="shared" ca="1" si="0"/>
        <v/>
      </c>
      <c r="R6" t="str">
        <f t="shared" ca="1" si="1"/>
        <v/>
      </c>
      <c r="S6" t="str">
        <f t="shared" ca="1" si="2"/>
        <v/>
      </c>
      <c r="T6" t="str">
        <f ca="1"/>
        <v>Laura Wright</v>
      </c>
      <c r="U6">
        <f ca="1"/>
        <v>76</v>
      </c>
      <c r="V6">
        <f ca="1">IFERROR(INDEX(Roll!$C:$C, MATCH(T6, Roll!$B:$B, 0)), "")</f>
        <v>4</v>
      </c>
      <c r="W6">
        <f ca="1">IF(V6&lt;&gt;"", IFERROR(MODE(V5:V7), V5), "")</f>
        <v>4</v>
      </c>
      <c r="X6" t="str">
        <f t="shared" ca="1" si="3"/>
        <v/>
      </c>
      <c r="Y6" t="str">
        <f t="shared" ca="1" si="4"/>
        <v/>
      </c>
      <c r="Z6" t="str">
        <f t="shared" ca="1" si="5"/>
        <v/>
      </c>
      <c r="AB6" t="str">
        <f ca="1"/>
        <v>Jess Zhang</v>
      </c>
      <c r="AC6">
        <f ca="1"/>
        <v>76</v>
      </c>
      <c r="AE6">
        <f ca="1"/>
        <v>3</v>
      </c>
      <c r="AF6">
        <f ca="1"/>
        <v>224</v>
      </c>
      <c r="AG6">
        <f ca="1"/>
        <v>-6</v>
      </c>
      <c r="AH6">
        <f ca="1"/>
        <v>0</v>
      </c>
    </row>
    <row r="7" spans="1:34" x14ac:dyDescent="0.3">
      <c r="A7" t="str">
        <f ca="1"/>
        <v>Oliver Hooper</v>
      </c>
      <c r="B7">
        <f ca="1"/>
        <v>73</v>
      </c>
      <c r="C7" t="str">
        <f ca="1"/>
        <v>Theodore Lysaght</v>
      </c>
      <c r="D7">
        <f ca="1"/>
        <v>74</v>
      </c>
      <c r="E7" t="str">
        <f ca="1"/>
        <v>Seraphina Zhang</v>
      </c>
      <c r="F7">
        <f ca="1"/>
        <v>75</v>
      </c>
      <c r="G7" t="str">
        <f ca="1"/>
        <v>Yifei Wang</v>
      </c>
      <c r="H7">
        <f ca="1"/>
        <v>75</v>
      </c>
      <c r="M7" t="str">
        <f ca="1"/>
        <v>Oliver Hooper</v>
      </c>
      <c r="N7">
        <f ca="1"/>
        <v>73</v>
      </c>
      <c r="O7">
        <f ca="1">IFERROR(INDEX(Roll!$C:$C, MATCH(M7, Roll!$B:$B, 0)), "")</f>
        <v>2</v>
      </c>
      <c r="P7">
        <f ca="1">IF(O7&lt;&gt;"", IFERROR(MODE(O5:O7), O5), "")</f>
        <v>2</v>
      </c>
      <c r="Q7">
        <f t="shared" ca="1" si="0"/>
        <v>223</v>
      </c>
      <c r="R7">
        <f t="shared" ca="1" si="1"/>
        <v>-2</v>
      </c>
      <c r="S7">
        <f t="shared" ca="1" si="2"/>
        <v>0</v>
      </c>
      <c r="T7" t="str">
        <f ca="1"/>
        <v>Theodore Lysaght</v>
      </c>
      <c r="U7">
        <f ca="1"/>
        <v>74</v>
      </c>
      <c r="V7">
        <f ca="1">IFERROR(INDEX(Roll!$C:$C, MATCH(T7, Roll!$B:$B, 0)), "")</f>
        <v>4</v>
      </c>
      <c r="W7">
        <f ca="1">IF(V7&lt;&gt;"", IFERROR(MODE(V5:V7), V5), "")</f>
        <v>4</v>
      </c>
      <c r="X7">
        <f t="shared" ca="1" si="3"/>
        <v>225</v>
      </c>
      <c r="Y7">
        <f t="shared" ca="1" si="4"/>
        <v>2</v>
      </c>
      <c r="Z7">
        <f t="shared" ca="1" si="5"/>
        <v>1</v>
      </c>
      <c r="AB7" t="str">
        <f ca="1"/>
        <v>Syme Aftab</v>
      </c>
      <c r="AC7">
        <f ca="1"/>
        <v>76</v>
      </c>
      <c r="AE7">
        <f ca="1"/>
        <v>4</v>
      </c>
      <c r="AF7">
        <f ca="1"/>
        <v>225</v>
      </c>
      <c r="AG7">
        <f ca="1"/>
        <v>2</v>
      </c>
      <c r="AH7">
        <f ca="1"/>
        <v>1</v>
      </c>
    </row>
    <row r="8" spans="1:34" x14ac:dyDescent="0.3">
      <c r="M8" t="str">
        <f ca="1"/>
        <v>Aaryan Goriyaan</v>
      </c>
      <c r="N8">
        <f ca="1"/>
        <v>71</v>
      </c>
      <c r="O8">
        <f ca="1">IFERROR(INDEX(Roll!$C:$C, MATCH(M8, Roll!$B:$B, 0)), "")</f>
        <v>6</v>
      </c>
      <c r="P8">
        <f t="shared" ref="P8" ca="1" si="6">IF(O8&lt;&gt;"",IFERROR(MODE(O8:O10), O8), "")</f>
        <v>9</v>
      </c>
      <c r="Q8" t="str">
        <f t="shared" ca="1" si="0"/>
        <v/>
      </c>
      <c r="R8" t="str">
        <f t="shared" ca="1" si="1"/>
        <v/>
      </c>
      <c r="S8" t="str">
        <f t="shared" ca="1" si="2"/>
        <v/>
      </c>
      <c r="T8" t="str">
        <f ca="1"/>
        <v>Janice Stanzah</v>
      </c>
      <c r="U8">
        <f ca="1"/>
        <v>71</v>
      </c>
      <c r="V8">
        <f ca="1">IFERROR(INDEX(Roll!$C:$C, MATCH(T8, Roll!$B:$B, 0)), "")</f>
        <v>8</v>
      </c>
      <c r="W8">
        <f t="shared" ref="W8" ca="1" si="7">IF(V8&lt;&gt;"",IFERROR(MODE(V8:V10), V8), "")</f>
        <v>11</v>
      </c>
      <c r="X8" t="str">
        <f t="shared" ca="1" si="3"/>
        <v/>
      </c>
      <c r="Y8" t="str">
        <f t="shared" ca="1" si="4"/>
        <v/>
      </c>
      <c r="Z8" t="str">
        <f t="shared" ca="1" si="5"/>
        <v/>
      </c>
      <c r="AB8" t="str">
        <f ca="1"/>
        <v>Laura Wright</v>
      </c>
      <c r="AC8">
        <f ca="1"/>
        <v>76</v>
      </c>
      <c r="AE8">
        <f ca="1"/>
        <v>11</v>
      </c>
      <c r="AF8">
        <f ca="1"/>
        <v>217</v>
      </c>
      <c r="AG8">
        <f ca="1"/>
        <v>-1</v>
      </c>
      <c r="AH8">
        <f ca="1"/>
        <v>0</v>
      </c>
    </row>
    <row r="9" spans="1:34" x14ac:dyDescent="0.3">
      <c r="M9" t="str">
        <f ca="1"/>
        <v>Tom Kavanagh</v>
      </c>
      <c r="N9">
        <f ca="1"/>
        <v>74</v>
      </c>
      <c r="O9">
        <f ca="1">IFERROR(INDEX(Roll!$C:$C, MATCH(M9, Roll!$B:$B, 0)), "")</f>
        <v>9</v>
      </c>
      <c r="P9">
        <f t="shared" ref="P9" ca="1" si="8">IF(O9&lt;&gt;"",IFERROR(MODE(O8:O10), O8), "")</f>
        <v>9</v>
      </c>
      <c r="Q9" t="str">
        <f t="shared" ca="1" si="0"/>
        <v/>
      </c>
      <c r="R9" t="str">
        <f t="shared" ca="1" si="1"/>
        <v/>
      </c>
      <c r="S9" t="str">
        <f t="shared" ca="1" si="2"/>
        <v/>
      </c>
      <c r="T9" t="str">
        <f ca="1"/>
        <v>Kerry Yao</v>
      </c>
      <c r="U9">
        <f ca="1"/>
        <v>74</v>
      </c>
      <c r="V9">
        <f ca="1">IFERROR(INDEX(Roll!$C:$C, MATCH(T9, Roll!$B:$B, 0)), "")</f>
        <v>11</v>
      </c>
      <c r="W9">
        <f t="shared" ref="W9" ca="1" si="9">IF(V9&lt;&gt;"",IFERROR(MODE(V8:V10), V8), "")</f>
        <v>11</v>
      </c>
      <c r="X9" t="str">
        <f t="shared" ca="1" si="3"/>
        <v/>
      </c>
      <c r="Y9" t="str">
        <f t="shared" ca="1" si="4"/>
        <v/>
      </c>
      <c r="Z9" t="str">
        <f t="shared" ca="1" si="5"/>
        <v/>
      </c>
      <c r="AB9" t="str">
        <f ca="1"/>
        <v>Isabella Teague</v>
      </c>
      <c r="AC9">
        <f ca="1"/>
        <v>76</v>
      </c>
      <c r="AE9">
        <f ca="1"/>
        <v>1</v>
      </c>
      <c r="AF9">
        <f ca="1"/>
        <v>225</v>
      </c>
      <c r="AG9">
        <f ca="1"/>
        <v>-1</v>
      </c>
      <c r="AH9">
        <f ca="1"/>
        <v>0</v>
      </c>
    </row>
    <row r="10" spans="1:34" x14ac:dyDescent="0.3">
      <c r="M10" t="str">
        <f ca="1"/>
        <v>Declan Clarke</v>
      </c>
      <c r="N10">
        <f ca="1"/>
        <v>73</v>
      </c>
      <c r="O10">
        <f ca="1">IFERROR(INDEX(Roll!$C:$C, MATCH(M10, Roll!$B:$B, 0)), "")</f>
        <v>9</v>
      </c>
      <c r="P10">
        <f t="shared" ref="P10" ca="1" si="10">IF(O10&lt;&gt;"",IFERROR(MODE(O8:O10), O8), "")</f>
        <v>9</v>
      </c>
      <c r="Q10">
        <f t="shared" ca="1" si="0"/>
        <v>218</v>
      </c>
      <c r="R10">
        <f t="shared" ca="1" si="1"/>
        <v>1</v>
      </c>
      <c r="S10">
        <f t="shared" ca="1" si="2"/>
        <v>1</v>
      </c>
      <c r="T10" t="str">
        <f ca="1"/>
        <v>William Prosser</v>
      </c>
      <c r="U10">
        <f ca="1"/>
        <v>72</v>
      </c>
      <c r="V10">
        <f ca="1">IFERROR(INDEX(Roll!$C:$C, MATCH(T10, Roll!$B:$B, 0)), "")</f>
        <v>11</v>
      </c>
      <c r="W10">
        <f t="shared" ref="W10" ca="1" si="11">IF(V10&lt;&gt;"",IFERROR(MODE(V8:V10), V8), "")</f>
        <v>11</v>
      </c>
      <c r="X10">
        <f t="shared" ca="1" si="3"/>
        <v>217</v>
      </c>
      <c r="Y10">
        <f t="shared" ca="1" si="4"/>
        <v>-1</v>
      </c>
      <c r="Z10">
        <f t="shared" ca="1" si="5"/>
        <v>0</v>
      </c>
      <c r="AB10" t="str">
        <f ca="1"/>
        <v>Amy Zander</v>
      </c>
      <c r="AC10">
        <f ca="1"/>
        <v>75</v>
      </c>
    </row>
    <row r="11" spans="1:34" x14ac:dyDescent="0.3">
      <c r="M11" t="str">
        <f ca="1"/>
        <v>Isabella Teague</v>
      </c>
      <c r="N11">
        <f ca="1"/>
        <v>76</v>
      </c>
      <c r="O11">
        <f ca="1">IFERROR(INDEX(Roll!$C:$C, MATCH(M11, Roll!$B:$B, 0)), "")</f>
        <v>8</v>
      </c>
      <c r="P11">
        <f t="shared" ref="P11" ca="1" si="12">IF(O11&lt;&gt;"", IFERROR(MODE(O11:O13), O11), "")</f>
        <v>7</v>
      </c>
      <c r="Q11" t="str">
        <f t="shared" ca="1" si="0"/>
        <v/>
      </c>
      <c r="R11" t="str">
        <f t="shared" ca="1" si="1"/>
        <v/>
      </c>
      <c r="S11" t="str">
        <f t="shared" ca="1" si="2"/>
        <v/>
      </c>
      <c r="T11" t="str">
        <f ca="1"/>
        <v>Yifan Sun</v>
      </c>
      <c r="U11">
        <f ca="1"/>
        <v>75</v>
      </c>
      <c r="V11">
        <f ca="1">IFERROR(INDEX(Roll!$C:$C, MATCH(T11, Roll!$B:$B, 0)), "")</f>
        <v>1</v>
      </c>
      <c r="W11">
        <f t="shared" ref="W11" ca="1" si="13">IF(V11&lt;&gt;"", IFERROR(MODE(V11:V13), V11), "")</f>
        <v>1</v>
      </c>
      <c r="X11" t="str">
        <f t="shared" ca="1" si="3"/>
        <v/>
      </c>
      <c r="Y11" t="str">
        <f t="shared" ca="1" si="4"/>
        <v/>
      </c>
      <c r="Z11" t="str">
        <f t="shared" ca="1" si="5"/>
        <v/>
      </c>
      <c r="AB11" t="str">
        <f ca="1"/>
        <v>Roan Bird</v>
      </c>
      <c r="AC11">
        <f ca="1"/>
        <v>75</v>
      </c>
    </row>
    <row r="12" spans="1:34" x14ac:dyDescent="0.3">
      <c r="M12" t="str">
        <f ca="1"/>
        <v>Ava Stewart</v>
      </c>
      <c r="N12">
        <f ca="1"/>
        <v>75</v>
      </c>
      <c r="O12">
        <f ca="1">IFERROR(INDEX(Roll!$C:$C, MATCH(M12, Roll!$B:$B, 0)), "")</f>
        <v>7</v>
      </c>
      <c r="P12">
        <f t="shared" ref="P12" ca="1" si="14">IF(O12&lt;&gt;"", IFERROR(MODE(O11:O13), O11), "")</f>
        <v>7</v>
      </c>
      <c r="Q12" t="str">
        <f t="shared" ca="1" si="0"/>
        <v/>
      </c>
      <c r="R12" t="str">
        <f t="shared" ca="1" si="1"/>
        <v/>
      </c>
      <c r="S12" t="str">
        <f t="shared" ca="1" si="2"/>
        <v/>
      </c>
      <c r="T12" t="str">
        <f ca="1"/>
        <v>Shengyin Bai</v>
      </c>
      <c r="U12">
        <f ca="1"/>
        <v>75</v>
      </c>
      <c r="V12">
        <f ca="1">IFERROR(INDEX(Roll!$C:$C, MATCH(T12, Roll!$B:$B, 0)), "")</f>
        <v>1</v>
      </c>
      <c r="W12">
        <f t="shared" ref="W12" ca="1" si="15">IF(V12&lt;&gt;"", IFERROR(MODE(V11:V13), V11), "")</f>
        <v>1</v>
      </c>
      <c r="X12" t="str">
        <f t="shared" ca="1" si="3"/>
        <v/>
      </c>
      <c r="Y12" t="str">
        <f t="shared" ca="1" si="4"/>
        <v/>
      </c>
      <c r="Z12" t="str">
        <f t="shared" ca="1" si="5"/>
        <v/>
      </c>
      <c r="AB12" t="str">
        <f ca="1"/>
        <v>Bede Hansch-Maher</v>
      </c>
      <c r="AC12">
        <f ca="1"/>
        <v>75</v>
      </c>
    </row>
    <row r="13" spans="1:34" x14ac:dyDescent="0.3">
      <c r="M13" t="str">
        <f ca="1"/>
        <v>Seraphina Zhang</v>
      </c>
      <c r="N13">
        <f ca="1"/>
        <v>75</v>
      </c>
      <c r="O13">
        <f ca="1">IFERROR(INDEX(Roll!$C:$C, MATCH(M13, Roll!$B:$B, 0)), "")</f>
        <v>7</v>
      </c>
      <c r="P13">
        <f t="shared" ref="P13" ca="1" si="16">IF(O13&lt;&gt;"", IFERROR(MODE(O11:O13), O11), "")</f>
        <v>7</v>
      </c>
      <c r="Q13">
        <f t="shared" ca="1" si="0"/>
        <v>226</v>
      </c>
      <c r="R13">
        <f t="shared" ca="1" si="1"/>
        <v>1</v>
      </c>
      <c r="S13">
        <f t="shared" ca="1" si="2"/>
        <v>1</v>
      </c>
      <c r="T13" t="str">
        <f ca="1"/>
        <v>Yifei Wang</v>
      </c>
      <c r="U13">
        <f ca="1"/>
        <v>75</v>
      </c>
      <c r="V13">
        <f ca="1">IFERROR(INDEX(Roll!$C:$C, MATCH(T13, Roll!$B:$B, 0)), "")</f>
        <v>1</v>
      </c>
      <c r="W13">
        <f t="shared" ref="W13" ca="1" si="17">IF(V13&lt;&gt;"", IFERROR(MODE(V11:V13), V11), "")</f>
        <v>1</v>
      </c>
      <c r="X13">
        <f t="shared" ca="1" si="3"/>
        <v>225</v>
      </c>
      <c r="Y13">
        <f t="shared" ca="1" si="4"/>
        <v>-1</v>
      </c>
      <c r="Z13">
        <f t="shared" ca="1" si="5"/>
        <v>0</v>
      </c>
      <c r="AB13" t="str">
        <f ca="1"/>
        <v>Ava Stewart</v>
      </c>
      <c r="AC13">
        <f ca="1"/>
        <v>75</v>
      </c>
    </row>
    <row r="14" spans="1:34" x14ac:dyDescent="0.3">
      <c r="M14" t="str">
        <f ca="1"/>
        <v/>
      </c>
      <c r="N14" t="str">
        <f ca="1"/>
        <v/>
      </c>
      <c r="O14" t="str">
        <f ca="1">IFERROR(INDEX(Roll!$C:$C, MATCH(M14, Roll!$B:$B, 0)), "")</f>
        <v/>
      </c>
      <c r="P14" t="str">
        <f t="shared" ref="P14" ca="1" si="18">IF(O14&lt;&gt;"",IFERROR(MODE(O14:O16), O14), "")</f>
        <v/>
      </c>
      <c r="Q14" t="str">
        <f t="shared" ca="1" si="0"/>
        <v/>
      </c>
      <c r="R14" t="str">
        <f t="shared" ca="1" si="1"/>
        <v/>
      </c>
      <c r="S14" t="str">
        <f t="shared" ca="1" si="2"/>
        <v/>
      </c>
      <c r="T14" t="str">
        <f ca="1"/>
        <v/>
      </c>
      <c r="U14" t="str">
        <f ca="1"/>
        <v/>
      </c>
      <c r="V14" t="str">
        <f ca="1">IFERROR(INDEX(Roll!$C:$C, MATCH(T14, Roll!$B:$B, 0)), "")</f>
        <v/>
      </c>
      <c r="W14" t="str">
        <f t="shared" ref="W14" ca="1" si="19">IF(V14&lt;&gt;"",IFERROR(MODE(V14:V16), V14), "")</f>
        <v/>
      </c>
      <c r="X14" t="str">
        <f t="shared" ca="1" si="3"/>
        <v/>
      </c>
      <c r="Y14" t="str">
        <f t="shared" ca="1" si="4"/>
        <v/>
      </c>
      <c r="Z14" t="str">
        <f t="shared" ca="1" si="5"/>
        <v/>
      </c>
      <c r="AB14" t="str">
        <f ca="1"/>
        <v>Seraphina Zhang</v>
      </c>
      <c r="AC14">
        <f ca="1"/>
        <v>75</v>
      </c>
    </row>
    <row r="15" spans="1:34" x14ac:dyDescent="0.3">
      <c r="O15" t="str">
        <f ca="1">IFERROR(INDEX(Roll!$C:$C, MATCH(M15, Roll!$B:$B, 0)), "")</f>
        <v/>
      </c>
      <c r="P15" t="str">
        <f t="shared" ref="P15" ca="1" si="20">IF(O15&lt;&gt;"",IFERROR(MODE(O14:O16), O14), "")</f>
        <v/>
      </c>
      <c r="Q15" t="str">
        <f t="shared" ca="1" si="0"/>
        <v/>
      </c>
      <c r="R15" t="str">
        <f t="shared" ca="1" si="1"/>
        <v/>
      </c>
      <c r="S15" t="str">
        <f t="shared" ca="1" si="2"/>
        <v/>
      </c>
      <c r="V15" t="str">
        <f ca="1">IFERROR(INDEX(Roll!$C:$C, MATCH(T15, Roll!$B:$B, 0)), "")</f>
        <v/>
      </c>
      <c r="W15" t="str">
        <f t="shared" ref="W15" ca="1" si="21">IF(V15&lt;&gt;"",IFERROR(MODE(V14:V16), V14), "")</f>
        <v/>
      </c>
      <c r="X15" t="str">
        <f t="shared" ca="1" si="3"/>
        <v/>
      </c>
      <c r="Y15" t="str">
        <f t="shared" ca="1" si="4"/>
        <v/>
      </c>
      <c r="Z15" t="str">
        <f t="shared" ca="1" si="5"/>
        <v/>
      </c>
      <c r="AB15" t="str">
        <f ca="1"/>
        <v>Yifan Sun</v>
      </c>
      <c r="AC15">
        <f ca="1"/>
        <v>75</v>
      </c>
    </row>
    <row r="16" spans="1:34" x14ac:dyDescent="0.3">
      <c r="O16" t="str">
        <f ca="1">IFERROR(INDEX(Roll!$C:$C, MATCH(M16, Roll!$B:$B, 0)), "")</f>
        <v/>
      </c>
      <c r="P16" t="str">
        <f t="shared" ref="P16" ca="1" si="22">IF(O16&lt;&gt;"",IFERROR(MODE(O14:O16), O14), "")</f>
        <v/>
      </c>
      <c r="Q16" t="str">
        <f t="shared" ca="1" si="0"/>
        <v/>
      </c>
      <c r="R16" t="str">
        <f t="shared" ca="1" si="1"/>
        <v/>
      </c>
      <c r="S16" t="str">
        <f t="shared" ca="1" si="2"/>
        <v/>
      </c>
      <c r="V16" t="str">
        <f ca="1">IFERROR(INDEX(Roll!$C:$C, MATCH(T16, Roll!$B:$B, 0)), "")</f>
        <v/>
      </c>
      <c r="W16" t="str">
        <f t="shared" ref="W16" ca="1" si="23">IF(V16&lt;&gt;"",IFERROR(MODE(V14:V16), V14), "")</f>
        <v/>
      </c>
      <c r="X16" t="str">
        <f t="shared" ca="1" si="3"/>
        <v/>
      </c>
      <c r="Y16" t="str">
        <f t="shared" ca="1" si="4"/>
        <v/>
      </c>
      <c r="Z16" t="str">
        <f t="shared" ca="1" si="5"/>
        <v/>
      </c>
      <c r="AB16" t="str">
        <f ca="1"/>
        <v>Shengyin Bai</v>
      </c>
      <c r="AC16">
        <f ca="1"/>
        <v>75</v>
      </c>
    </row>
    <row r="17" spans="15:29" x14ac:dyDescent="0.3">
      <c r="O17" t="str">
        <f ca="1">IFERROR(INDEX(Roll!$C:$C, MATCH(M17, Roll!$B:$B, 0)), "")</f>
        <v/>
      </c>
      <c r="P17" t="str">
        <f t="shared" ref="P17" ca="1" si="24">IF(O17&lt;&gt;"", IFERROR(MODE(O17:O19), O17), "")</f>
        <v/>
      </c>
      <c r="Q17" t="str">
        <f t="shared" si="0"/>
        <v/>
      </c>
      <c r="R17" t="str">
        <f t="shared" si="1"/>
        <v/>
      </c>
      <c r="S17" t="str">
        <f t="shared" si="2"/>
        <v/>
      </c>
      <c r="V17" t="str">
        <f ca="1">IFERROR(INDEX(Roll!$C:$C, MATCH(T17, Roll!$B:$B, 0)), "")</f>
        <v/>
      </c>
      <c r="W17" t="str">
        <f t="shared" ref="W17" ca="1" si="25">IF(V17&lt;&gt;"", IFERROR(MODE(V17:V19), V17), "")</f>
        <v/>
      </c>
      <c r="X17" t="str">
        <f t="shared" si="3"/>
        <v/>
      </c>
      <c r="Y17" t="str">
        <f t="shared" si="4"/>
        <v/>
      </c>
      <c r="Z17" t="str">
        <f t="shared" si="5"/>
        <v/>
      </c>
      <c r="AB17" t="str">
        <f ca="1"/>
        <v>Yifei Wang</v>
      </c>
      <c r="AC17">
        <f ca="1"/>
        <v>75</v>
      </c>
    </row>
    <row r="18" spans="15:29" x14ac:dyDescent="0.3">
      <c r="O18" t="str">
        <f ca="1">IFERROR(INDEX(Roll!$C:$C, MATCH(M18, Roll!$B:$B, 0)), "")</f>
        <v/>
      </c>
      <c r="P18" t="str">
        <f t="shared" ref="P18" ca="1" si="26">IF(O18&lt;&gt;"", IFERROR(MODE(O17:O19), O17), "")</f>
        <v/>
      </c>
      <c r="Q18" t="str">
        <f t="shared" si="0"/>
        <v/>
      </c>
      <c r="R18" t="str">
        <f t="shared" si="1"/>
        <v/>
      </c>
      <c r="S18" t="str">
        <f t="shared" si="2"/>
        <v/>
      </c>
      <c r="V18" t="str">
        <f ca="1">IFERROR(INDEX(Roll!$C:$C, MATCH(T18, Roll!$B:$B, 0)), "")</f>
        <v/>
      </c>
      <c r="W18" t="str">
        <f t="shared" ref="W18" ca="1" si="27">IF(V18&lt;&gt;"", IFERROR(MODE(V17:V19), V17), "")</f>
        <v/>
      </c>
      <c r="X18" t="str">
        <f t="shared" si="3"/>
        <v/>
      </c>
      <c r="Y18" t="str">
        <f t="shared" si="4"/>
        <v/>
      </c>
      <c r="Z18" t="str">
        <f t="shared" si="5"/>
        <v/>
      </c>
      <c r="AB18" t="str">
        <f ca="1"/>
        <v>Sam Button</v>
      </c>
      <c r="AC18">
        <f ca="1"/>
        <v>74</v>
      </c>
    </row>
    <row r="19" spans="15:29" x14ac:dyDescent="0.3">
      <c r="O19" t="str">
        <f ca="1">IFERROR(INDEX(Roll!$C:$C, MATCH(M19, Roll!$B:$B, 0)), "")</f>
        <v/>
      </c>
      <c r="P19" t="str">
        <f t="shared" ref="P19" ca="1" si="28">IF(O19&lt;&gt;"", IFERROR(MODE(O17:O19), O17), "")</f>
        <v/>
      </c>
      <c r="Q19" t="str">
        <f t="shared" si="0"/>
        <v/>
      </c>
      <c r="R19" t="str">
        <f t="shared" si="1"/>
        <v/>
      </c>
      <c r="S19" t="str">
        <f t="shared" si="2"/>
        <v/>
      </c>
      <c r="V19" t="str">
        <f ca="1">IFERROR(INDEX(Roll!$C:$C, MATCH(T19, Roll!$B:$B, 0)), "")</f>
        <v/>
      </c>
      <c r="W19" t="str">
        <f t="shared" ref="W19" ca="1" si="29">IF(V19&lt;&gt;"", IFERROR(MODE(V17:V19), V17), "")</f>
        <v/>
      </c>
      <c r="X19" t="str">
        <f t="shared" si="3"/>
        <v/>
      </c>
      <c r="Y19" t="str">
        <f t="shared" si="4"/>
        <v/>
      </c>
      <c r="Z19" t="str">
        <f t="shared" si="5"/>
        <v/>
      </c>
      <c r="AB19" t="str">
        <f ca="1"/>
        <v>Harry Elliott</v>
      </c>
      <c r="AC19">
        <f ca="1"/>
        <v>74</v>
      </c>
    </row>
    <row r="20" spans="15:29" x14ac:dyDescent="0.3">
      <c r="O20" t="str">
        <f ca="1">IFERROR(INDEX(Roll!$C:$C, MATCH(M20, Roll!$B:$B, 0)), "")</f>
        <v/>
      </c>
      <c r="P20" t="str">
        <f t="shared" ref="P20" ca="1" si="30">IF(O20&lt;&gt;"",IFERROR(MODE(O20:O22), O20), "")</f>
        <v/>
      </c>
      <c r="Q20" t="str">
        <f t="shared" si="0"/>
        <v/>
      </c>
      <c r="R20" t="str">
        <f t="shared" si="1"/>
        <v/>
      </c>
      <c r="S20" t="str">
        <f t="shared" si="2"/>
        <v/>
      </c>
      <c r="V20" t="str">
        <f ca="1">IFERROR(INDEX(Roll!$C:$C, MATCH(T20, Roll!$B:$B, 0)), "")</f>
        <v/>
      </c>
      <c r="W20" t="str">
        <f t="shared" ref="W20:W56" ca="1" si="31">IF(V20&lt;&gt;"",IFERROR(MODE(V20:V22), V20), "")</f>
        <v/>
      </c>
      <c r="X20" t="str">
        <f t="shared" si="3"/>
        <v/>
      </c>
      <c r="Y20" t="str">
        <f t="shared" si="4"/>
        <v/>
      </c>
      <c r="Z20" t="str">
        <f t="shared" si="5"/>
        <v/>
      </c>
      <c r="AB20" t="str">
        <f ca="1"/>
        <v>Theodore Lysaght</v>
      </c>
      <c r="AC20">
        <f ca="1"/>
        <v>74</v>
      </c>
    </row>
    <row r="21" spans="15:29" x14ac:dyDescent="0.3">
      <c r="O21" t="str">
        <f ca="1">IFERROR(INDEX(Roll!$C:$C, MATCH(M21, Roll!$B:$B, 0)), "")</f>
        <v/>
      </c>
      <c r="P21" t="str">
        <f t="shared" ref="P21" ca="1" si="32">IF(O21&lt;&gt;"",IFERROR(MODE(O20:O22), O20), "")</f>
        <v/>
      </c>
      <c r="Q21" t="str">
        <f t="shared" si="0"/>
        <v/>
      </c>
      <c r="R21" t="str">
        <f t="shared" si="1"/>
        <v/>
      </c>
      <c r="S21" t="str">
        <f t="shared" si="2"/>
        <v/>
      </c>
      <c r="V21" t="str">
        <f ca="1">IFERROR(INDEX(Roll!$C:$C, MATCH(T21, Roll!$B:$B, 0)), "")</f>
        <v/>
      </c>
      <c r="W21" t="str">
        <f t="shared" ref="W21:W57" ca="1" si="33">IF(V21&lt;&gt;"",IFERROR(MODE(V20:V22), V20), "")</f>
        <v/>
      </c>
      <c r="X21" t="str">
        <f t="shared" si="3"/>
        <v/>
      </c>
      <c r="Y21" t="str">
        <f t="shared" si="4"/>
        <v/>
      </c>
      <c r="Z21" t="str">
        <f t="shared" si="5"/>
        <v/>
      </c>
      <c r="AB21" t="str">
        <f ca="1"/>
        <v>Tom Kavanagh</v>
      </c>
      <c r="AC21">
        <f ca="1"/>
        <v>74</v>
      </c>
    </row>
    <row r="22" spans="15:29" x14ac:dyDescent="0.3">
      <c r="O22" t="str">
        <f ca="1">IFERROR(INDEX(Roll!$C:$C, MATCH(M22, Roll!$B:$B, 0)), "")</f>
        <v/>
      </c>
      <c r="P22" t="str">
        <f t="shared" ref="P22" ca="1" si="34">IF(O22&lt;&gt;"",IFERROR(MODE(O20:O22), O20), "")</f>
        <v/>
      </c>
      <c r="Q22" t="str">
        <f t="shared" si="0"/>
        <v/>
      </c>
      <c r="R22" t="str">
        <f t="shared" si="1"/>
        <v/>
      </c>
      <c r="S22" t="str">
        <f t="shared" si="2"/>
        <v/>
      </c>
      <c r="V22" t="str">
        <f ca="1">IFERROR(INDEX(Roll!$C:$C, MATCH(T22, Roll!$B:$B, 0)), "")</f>
        <v/>
      </c>
      <c r="W22" t="str">
        <f t="shared" ref="W22:W58" ca="1" si="35">IF(V22&lt;&gt;"",IFERROR(MODE(V20:V22), V20), "")</f>
        <v/>
      </c>
      <c r="X22" t="str">
        <f t="shared" si="3"/>
        <v/>
      </c>
      <c r="Y22" t="str">
        <f t="shared" si="4"/>
        <v/>
      </c>
      <c r="Z22" t="str">
        <f t="shared" si="5"/>
        <v/>
      </c>
      <c r="AB22" t="str">
        <f ca="1"/>
        <v>Kerry Yao</v>
      </c>
      <c r="AC22">
        <f ca="1"/>
        <v>74</v>
      </c>
    </row>
    <row r="23" spans="15:29" x14ac:dyDescent="0.3">
      <c r="O23" t="str">
        <f ca="1">IFERROR(INDEX(Roll!$C:$C, MATCH(M23, Roll!$B:$B, 0)), "")</f>
        <v/>
      </c>
      <c r="P23" t="str">
        <f t="shared" ref="P23" ca="1" si="36">IF(O23&lt;&gt;"", IFERROR(MODE(O23:O25), O23), "")</f>
        <v/>
      </c>
      <c r="Q23" t="str">
        <f t="shared" si="0"/>
        <v/>
      </c>
      <c r="R23" t="str">
        <f t="shared" si="1"/>
        <v/>
      </c>
      <c r="S23" t="str">
        <f t="shared" si="2"/>
        <v/>
      </c>
      <c r="V23" t="str">
        <f ca="1">IFERROR(INDEX(Roll!$C:$C, MATCH(T23, Roll!$B:$B, 0)), "")</f>
        <v/>
      </c>
      <c r="W23" t="str">
        <f t="shared" ref="W23:W59" ca="1" si="37">IF(V23&lt;&gt;"", IFERROR(MODE(V23:V25), V23), "")</f>
        <v/>
      </c>
      <c r="X23" t="str">
        <f t="shared" si="3"/>
        <v/>
      </c>
      <c r="Y23" t="str">
        <f t="shared" si="4"/>
        <v/>
      </c>
      <c r="Z23" t="str">
        <f t="shared" si="5"/>
        <v/>
      </c>
      <c r="AB23" t="str">
        <f ca="1"/>
        <v>Oliver Hooper</v>
      </c>
      <c r="AC23">
        <f ca="1"/>
        <v>73</v>
      </c>
    </row>
    <row r="24" spans="15:29" x14ac:dyDescent="0.3">
      <c r="O24" t="str">
        <f ca="1">IFERROR(INDEX(Roll!$C:$C, MATCH(M24, Roll!$B:$B, 0)), "")</f>
        <v/>
      </c>
      <c r="P24" t="str">
        <f t="shared" ref="P24" ca="1" si="38">IF(O24&lt;&gt;"", IFERROR(MODE(O23:O25), O23), "")</f>
        <v/>
      </c>
      <c r="Q24" t="str">
        <f t="shared" si="0"/>
        <v/>
      </c>
      <c r="R24" t="str">
        <f t="shared" si="1"/>
        <v/>
      </c>
      <c r="S24" t="str">
        <f t="shared" si="2"/>
        <v/>
      </c>
      <c r="V24" t="str">
        <f ca="1">IFERROR(INDEX(Roll!$C:$C, MATCH(T24, Roll!$B:$B, 0)), "")</f>
        <v/>
      </c>
      <c r="W24" t="str">
        <f t="shared" ref="W24:W60" ca="1" si="39">IF(V24&lt;&gt;"", IFERROR(MODE(V23:V25), V23), "")</f>
        <v/>
      </c>
      <c r="X24" t="str">
        <f t="shared" si="3"/>
        <v/>
      </c>
      <c r="Y24" t="str">
        <f t="shared" si="4"/>
        <v/>
      </c>
      <c r="Z24" t="str">
        <f t="shared" si="5"/>
        <v/>
      </c>
      <c r="AB24" t="str">
        <f ca="1"/>
        <v>Declan Clarke</v>
      </c>
      <c r="AC24">
        <f ca="1"/>
        <v>73</v>
      </c>
    </row>
    <row r="25" spans="15:29" x14ac:dyDescent="0.3">
      <c r="O25" t="str">
        <f ca="1">IFERROR(INDEX(Roll!$C:$C, MATCH(M25, Roll!$B:$B, 0)), "")</f>
        <v/>
      </c>
      <c r="P25" t="str">
        <f t="shared" ref="P25" ca="1" si="40">IF(O25&lt;&gt;"", IFERROR(MODE(O23:O25), O23), "")</f>
        <v/>
      </c>
      <c r="Q25" t="str">
        <f t="shared" si="0"/>
        <v/>
      </c>
      <c r="R25" t="str">
        <f t="shared" si="1"/>
        <v/>
      </c>
      <c r="S25" t="str">
        <f t="shared" si="2"/>
        <v/>
      </c>
      <c r="V25" t="str">
        <f ca="1">IFERROR(INDEX(Roll!$C:$C, MATCH(T25, Roll!$B:$B, 0)), "")</f>
        <v/>
      </c>
      <c r="W25" t="str">
        <f t="shared" ref="W25:W49" ca="1" si="41">IF(V25&lt;&gt;"", IFERROR(MODE(V23:V25), V23), "")</f>
        <v/>
      </c>
      <c r="X25" t="str">
        <f t="shared" si="3"/>
        <v/>
      </c>
      <c r="Y25" t="str">
        <f t="shared" si="4"/>
        <v/>
      </c>
      <c r="Z25" t="str">
        <f t="shared" si="5"/>
        <v/>
      </c>
      <c r="AB25" t="str">
        <f ca="1"/>
        <v>William Prosser</v>
      </c>
      <c r="AC25">
        <f ca="1"/>
        <v>72</v>
      </c>
    </row>
    <row r="26" spans="15:29" x14ac:dyDescent="0.3">
      <c r="O26" t="str">
        <f ca="1">IFERROR(INDEX(Roll!$C:$C, MATCH(M26, Roll!$B:$B, 0)), "")</f>
        <v/>
      </c>
      <c r="P26" t="str">
        <f t="shared" ref="P26" ca="1" si="42">IF(O26&lt;&gt;"",IFERROR(MODE(O26:O28), O26), "")</f>
        <v/>
      </c>
      <c r="Q26" t="str">
        <f t="shared" si="0"/>
        <v/>
      </c>
      <c r="R26" t="str">
        <f t="shared" si="1"/>
        <v/>
      </c>
      <c r="S26" t="str">
        <f t="shared" si="2"/>
        <v/>
      </c>
      <c r="V26" t="str">
        <f ca="1">IFERROR(INDEX(Roll!$C:$C, MATCH(T26, Roll!$B:$B, 0)), "")</f>
        <v/>
      </c>
      <c r="W26" t="str">
        <f t="shared" ref="W26" ca="1" si="43">IF(V26&lt;&gt;"",IFERROR(MODE(V26:V28), V26), "")</f>
        <v/>
      </c>
      <c r="X26" t="str">
        <f t="shared" si="3"/>
        <v/>
      </c>
      <c r="Y26" t="str">
        <f t="shared" si="4"/>
        <v/>
      </c>
      <c r="Z26" t="str">
        <f t="shared" si="5"/>
        <v/>
      </c>
      <c r="AB26" t="str">
        <f ca="1"/>
        <v>Aaryan Goriyaan</v>
      </c>
      <c r="AC26">
        <f ca="1"/>
        <v>71</v>
      </c>
    </row>
    <row r="27" spans="15:29" x14ac:dyDescent="0.3">
      <c r="O27" t="str">
        <f ca="1">IFERROR(INDEX(Roll!$C:$C, MATCH(M27, Roll!$B:$B, 0)), "")</f>
        <v/>
      </c>
      <c r="P27" t="str">
        <f t="shared" ref="P27" ca="1" si="44">IF(O27&lt;&gt;"",IFERROR(MODE(O26:O28), O26), "")</f>
        <v/>
      </c>
      <c r="Q27" t="str">
        <f t="shared" si="0"/>
        <v/>
      </c>
      <c r="R27" t="str">
        <f t="shared" si="1"/>
        <v/>
      </c>
      <c r="S27" t="str">
        <f t="shared" si="2"/>
        <v/>
      </c>
      <c r="V27" t="str">
        <f ca="1">IFERROR(INDEX(Roll!$C:$C, MATCH(T27, Roll!$B:$B, 0)), "")</f>
        <v/>
      </c>
      <c r="W27" t="str">
        <f t="shared" ref="W27" ca="1" si="45">IF(V27&lt;&gt;"",IFERROR(MODE(V26:V28), V26), "")</f>
        <v/>
      </c>
      <c r="X27" t="str">
        <f t="shared" si="3"/>
        <v/>
      </c>
      <c r="Y27" t="str">
        <f t="shared" si="4"/>
        <v/>
      </c>
      <c r="Z27" t="str">
        <f t="shared" si="5"/>
        <v/>
      </c>
      <c r="AB27" t="str">
        <f ca="1"/>
        <v>Janice Stanzah</v>
      </c>
      <c r="AC27">
        <f ca="1"/>
        <v>71</v>
      </c>
    </row>
    <row r="28" spans="15:29" x14ac:dyDescent="0.3">
      <c r="O28" t="str">
        <f ca="1">IFERROR(INDEX(Roll!$C:$C, MATCH(M28, Roll!$B:$B, 0)), "")</f>
        <v/>
      </c>
      <c r="P28" t="str">
        <f t="shared" ref="P28" ca="1" si="46">IF(O28&lt;&gt;"",IFERROR(MODE(O26:O28), O26), "")</f>
        <v/>
      </c>
      <c r="Q28" t="str">
        <f t="shared" si="0"/>
        <v/>
      </c>
      <c r="R28" t="str">
        <f t="shared" si="1"/>
        <v/>
      </c>
      <c r="S28" t="str">
        <f t="shared" si="2"/>
        <v/>
      </c>
      <c r="V28" t="str">
        <f ca="1">IFERROR(INDEX(Roll!$C:$C, MATCH(T28, Roll!$B:$B, 0)), "")</f>
        <v/>
      </c>
      <c r="W28" t="str">
        <f t="shared" ref="W28" ca="1" si="47">IF(V28&lt;&gt;"",IFERROR(MODE(V26:V28), V26), "")</f>
        <v/>
      </c>
      <c r="X28" t="str">
        <f t="shared" si="3"/>
        <v/>
      </c>
      <c r="Y28" t="str">
        <f t="shared" si="4"/>
        <v/>
      </c>
      <c r="Z28" t="str">
        <f t="shared" si="5"/>
        <v/>
      </c>
    </row>
    <row r="29" spans="15:29" x14ac:dyDescent="0.3">
      <c r="O29" t="str">
        <f ca="1">IFERROR(INDEX(Roll!$C:$C, MATCH(M29, Roll!$B:$B, 0)), "")</f>
        <v/>
      </c>
      <c r="P29" t="str">
        <f t="shared" ref="P29" ca="1" si="48">IF(O29&lt;&gt;"", IFERROR(MODE(O29:O31), O29), "")</f>
        <v/>
      </c>
      <c r="Q29" t="str">
        <f t="shared" si="0"/>
        <v/>
      </c>
      <c r="R29" t="str">
        <f t="shared" si="1"/>
        <v/>
      </c>
      <c r="S29" t="str">
        <f t="shared" si="2"/>
        <v/>
      </c>
      <c r="V29" t="str">
        <f ca="1">IFERROR(INDEX(Roll!$C:$C, MATCH(T29, Roll!$B:$B, 0)), "")</f>
        <v/>
      </c>
      <c r="W29" t="str">
        <f t="shared" ref="W29" ca="1" si="49">IF(V29&lt;&gt;"", IFERROR(MODE(V29:V31), V29), "")</f>
        <v/>
      </c>
      <c r="X29" t="str">
        <f t="shared" si="3"/>
        <v/>
      </c>
      <c r="Y29" t="str">
        <f t="shared" si="4"/>
        <v/>
      </c>
      <c r="Z29" t="str">
        <f t="shared" si="5"/>
        <v/>
      </c>
    </row>
    <row r="30" spans="15:29" x14ac:dyDescent="0.3">
      <c r="O30" t="str">
        <f ca="1">IFERROR(INDEX(Roll!$C:$C, MATCH(M30, Roll!$B:$B, 0)), "")</f>
        <v/>
      </c>
      <c r="P30" t="str">
        <f t="shared" ref="P30" ca="1" si="50">IF(O30&lt;&gt;"", IFERROR(MODE(O29:O31), O29), "")</f>
        <v/>
      </c>
      <c r="Q30" t="str">
        <f t="shared" si="0"/>
        <v/>
      </c>
      <c r="R30" t="str">
        <f t="shared" si="1"/>
        <v/>
      </c>
      <c r="S30" t="str">
        <f t="shared" si="2"/>
        <v/>
      </c>
      <c r="V30" t="str">
        <f ca="1">IFERROR(INDEX(Roll!$C:$C, MATCH(T30, Roll!$B:$B, 0)), "")</f>
        <v/>
      </c>
      <c r="W30" t="str">
        <f t="shared" ref="W30" ca="1" si="51">IF(V30&lt;&gt;"", IFERROR(MODE(V29:V31), V29), "")</f>
        <v/>
      </c>
      <c r="X30" t="str">
        <f t="shared" si="3"/>
        <v/>
      </c>
      <c r="Y30" t="str">
        <f t="shared" si="4"/>
        <v/>
      </c>
      <c r="Z30" t="str">
        <f t="shared" si="5"/>
        <v/>
      </c>
    </row>
    <row r="31" spans="15:29" x14ac:dyDescent="0.3">
      <c r="O31" t="str">
        <f ca="1">IFERROR(INDEX(Roll!$C:$C, MATCH(M31, Roll!$B:$B, 0)), "")</f>
        <v/>
      </c>
      <c r="P31" t="str">
        <f t="shared" ref="P31" ca="1" si="52">IF(O31&lt;&gt;"", IFERROR(MODE(O29:O31), O29), "")</f>
        <v/>
      </c>
      <c r="Q31" t="str">
        <f t="shared" si="0"/>
        <v/>
      </c>
      <c r="R31" t="str">
        <f t="shared" si="1"/>
        <v/>
      </c>
      <c r="S31" t="str">
        <f t="shared" si="2"/>
        <v/>
      </c>
      <c r="V31" t="str">
        <f ca="1">IFERROR(INDEX(Roll!$C:$C, MATCH(T31, Roll!$B:$B, 0)), "")</f>
        <v/>
      </c>
      <c r="W31" t="str">
        <f t="shared" ref="W31" ca="1" si="53">IF(V31&lt;&gt;"", IFERROR(MODE(V29:V31), V29), "")</f>
        <v/>
      </c>
      <c r="X31" t="str">
        <f t="shared" si="3"/>
        <v/>
      </c>
      <c r="Y31" t="str">
        <f t="shared" si="4"/>
        <v/>
      </c>
      <c r="Z31" t="str">
        <f t="shared" si="5"/>
        <v/>
      </c>
    </row>
    <row r="32" spans="15:29" x14ac:dyDescent="0.3">
      <c r="O32" t="str">
        <f ca="1">IFERROR(INDEX(Roll!$C:$C, MATCH(M32, Roll!$B:$B, 0)), "")</f>
        <v/>
      </c>
      <c r="P32" t="str">
        <f t="shared" ref="P32" ca="1" si="54">IF(O32&lt;&gt;"",IFERROR(MODE(O32:O34), O32), "")</f>
        <v/>
      </c>
      <c r="Q32" t="str">
        <f t="shared" si="0"/>
        <v/>
      </c>
      <c r="R32" t="str">
        <f t="shared" si="1"/>
        <v/>
      </c>
      <c r="S32" t="str">
        <f t="shared" si="2"/>
        <v/>
      </c>
      <c r="V32" t="str">
        <f ca="1">IFERROR(INDEX(Roll!$C:$C, MATCH(T32, Roll!$B:$B, 0)), "")</f>
        <v/>
      </c>
      <c r="W32" t="str">
        <f t="shared" ca="1" si="31"/>
        <v/>
      </c>
      <c r="X32" t="str">
        <f t="shared" si="3"/>
        <v/>
      </c>
      <c r="Y32" t="str">
        <f t="shared" si="4"/>
        <v/>
      </c>
      <c r="Z32" t="str">
        <f t="shared" si="5"/>
        <v/>
      </c>
    </row>
    <row r="33" spans="15:26" x14ac:dyDescent="0.3">
      <c r="O33" t="str">
        <f ca="1">IFERROR(INDEX(Roll!$C:$C, MATCH(M33, Roll!$B:$B, 0)), "")</f>
        <v/>
      </c>
      <c r="P33" t="str">
        <f t="shared" ref="P33" ca="1" si="55">IF(O33&lt;&gt;"",IFERROR(MODE(O32:O34), O32), "")</f>
        <v/>
      </c>
      <c r="Q33" t="str">
        <f t="shared" si="0"/>
        <v/>
      </c>
      <c r="R33" t="str">
        <f t="shared" si="1"/>
        <v/>
      </c>
      <c r="S33" t="str">
        <f t="shared" si="2"/>
        <v/>
      </c>
      <c r="V33" t="str">
        <f ca="1">IFERROR(INDEX(Roll!$C:$C, MATCH(T33, Roll!$B:$B, 0)), "")</f>
        <v/>
      </c>
      <c r="W33" t="str">
        <f t="shared" ca="1" si="33"/>
        <v/>
      </c>
      <c r="X33" t="str">
        <f t="shared" si="3"/>
        <v/>
      </c>
      <c r="Y33" t="str">
        <f t="shared" si="4"/>
        <v/>
      </c>
      <c r="Z33" t="str">
        <f t="shared" si="5"/>
        <v/>
      </c>
    </row>
    <row r="34" spans="15:26" x14ac:dyDescent="0.3">
      <c r="O34" t="str">
        <f ca="1">IFERROR(INDEX(Roll!$C:$C, MATCH(M34, Roll!$B:$B, 0)), "")</f>
        <v/>
      </c>
      <c r="P34" t="str">
        <f t="shared" ref="P34" ca="1" si="56">IF(O34&lt;&gt;"",IFERROR(MODE(O32:O34), O32), "")</f>
        <v/>
      </c>
      <c r="Q34" t="str">
        <f t="shared" si="0"/>
        <v/>
      </c>
      <c r="R34" t="str">
        <f t="shared" si="1"/>
        <v/>
      </c>
      <c r="S34" t="str">
        <f t="shared" si="2"/>
        <v/>
      </c>
      <c r="V34" t="str">
        <f ca="1">IFERROR(INDEX(Roll!$C:$C, MATCH(T34, Roll!$B:$B, 0)), "")</f>
        <v/>
      </c>
      <c r="W34" t="str">
        <f t="shared" ca="1" si="35"/>
        <v/>
      </c>
      <c r="X34" t="str">
        <f t="shared" si="3"/>
        <v/>
      </c>
      <c r="Y34" t="str">
        <f t="shared" si="4"/>
        <v/>
      </c>
      <c r="Z34" t="str">
        <f t="shared" si="5"/>
        <v/>
      </c>
    </row>
    <row r="35" spans="15:26" x14ac:dyDescent="0.3">
      <c r="O35" t="str">
        <f ca="1">IFERROR(INDEX(Roll!$C:$C, MATCH(M35, Roll!$B:$B, 0)), "")</f>
        <v/>
      </c>
      <c r="P35" t="str">
        <f t="shared" ref="P35" ca="1" si="57">IF(O35&lt;&gt;"", IFERROR(MODE(O35:O37), O35), "")</f>
        <v/>
      </c>
      <c r="Q35" t="str">
        <f t="shared" si="0"/>
        <v/>
      </c>
      <c r="R35" t="str">
        <f t="shared" si="1"/>
        <v/>
      </c>
      <c r="S35" t="str">
        <f t="shared" si="2"/>
        <v/>
      </c>
      <c r="V35" t="str">
        <f ca="1">IFERROR(INDEX(Roll!$C:$C, MATCH(T35, Roll!$B:$B, 0)), "")</f>
        <v/>
      </c>
      <c r="W35" t="str">
        <f t="shared" ca="1" si="37"/>
        <v/>
      </c>
      <c r="X35" t="str">
        <f t="shared" si="3"/>
        <v/>
      </c>
      <c r="Y35" t="str">
        <f t="shared" si="4"/>
        <v/>
      </c>
      <c r="Z35" t="str">
        <f t="shared" si="5"/>
        <v/>
      </c>
    </row>
    <row r="36" spans="15:26" x14ac:dyDescent="0.3">
      <c r="O36" t="str">
        <f ca="1">IFERROR(INDEX(Roll!$C:$C, MATCH(M36, Roll!$B:$B, 0)), "")</f>
        <v/>
      </c>
      <c r="P36" t="str">
        <f t="shared" ref="P36" ca="1" si="58">IF(O36&lt;&gt;"", IFERROR(MODE(O35:O37), O35), "")</f>
        <v/>
      </c>
      <c r="Q36" t="str">
        <f t="shared" si="0"/>
        <v/>
      </c>
      <c r="R36" t="str">
        <f t="shared" si="1"/>
        <v/>
      </c>
      <c r="S36" t="str">
        <f t="shared" si="2"/>
        <v/>
      </c>
      <c r="V36" t="str">
        <f ca="1">IFERROR(INDEX(Roll!$C:$C, MATCH(T36, Roll!$B:$B, 0)), "")</f>
        <v/>
      </c>
      <c r="W36" t="str">
        <f t="shared" ca="1" si="39"/>
        <v/>
      </c>
      <c r="X36" t="str">
        <f t="shared" si="3"/>
        <v/>
      </c>
      <c r="Y36" t="str">
        <f t="shared" si="4"/>
        <v/>
      </c>
      <c r="Z36" t="str">
        <f t="shared" si="5"/>
        <v/>
      </c>
    </row>
    <row r="37" spans="15:26" x14ac:dyDescent="0.3">
      <c r="O37" t="str">
        <f ca="1">IFERROR(INDEX(Roll!$C:$C, MATCH(M37, Roll!$B:$B, 0)), "")</f>
        <v/>
      </c>
      <c r="P37" t="str">
        <f t="shared" ref="P37" ca="1" si="59">IF(O37&lt;&gt;"", IFERROR(MODE(O35:O37), O35), "")</f>
        <v/>
      </c>
      <c r="Q37" t="str">
        <f t="shared" si="0"/>
        <v/>
      </c>
      <c r="R37" t="str">
        <f t="shared" si="1"/>
        <v/>
      </c>
      <c r="S37" t="str">
        <f t="shared" si="2"/>
        <v/>
      </c>
      <c r="V37" t="str">
        <f ca="1">IFERROR(INDEX(Roll!$C:$C, MATCH(T37, Roll!$B:$B, 0)), "")</f>
        <v/>
      </c>
      <c r="W37" t="str">
        <f t="shared" ca="1" si="41"/>
        <v/>
      </c>
      <c r="X37" t="str">
        <f t="shared" si="3"/>
        <v/>
      </c>
      <c r="Y37" t="str">
        <f t="shared" si="4"/>
        <v/>
      </c>
      <c r="Z37" t="str">
        <f t="shared" si="5"/>
        <v/>
      </c>
    </row>
    <row r="38" spans="15:26" x14ac:dyDescent="0.3">
      <c r="O38" t="str">
        <f ca="1">IFERROR(INDEX(Roll!$C:$C, MATCH(M38, Roll!$B:$B, 0)), "")</f>
        <v/>
      </c>
      <c r="P38" t="str">
        <f t="shared" ref="P38" ca="1" si="60">IF(O38&lt;&gt;"",IFERROR(MODE(O38:O40), O38), "")</f>
        <v/>
      </c>
      <c r="Q38" t="str">
        <f t="shared" si="0"/>
        <v/>
      </c>
      <c r="R38" t="str">
        <f t="shared" si="1"/>
        <v/>
      </c>
      <c r="S38" t="str">
        <f t="shared" si="2"/>
        <v/>
      </c>
      <c r="V38" t="str">
        <f ca="1">IFERROR(INDEX(Roll!$C:$C, MATCH(T38, Roll!$B:$B, 0)), "")</f>
        <v/>
      </c>
      <c r="W38" t="str">
        <f t="shared" ref="W38" ca="1" si="61">IF(V38&lt;&gt;"",IFERROR(MODE(V38:V40), V38), "")</f>
        <v/>
      </c>
      <c r="X38" t="str">
        <f t="shared" si="3"/>
        <v/>
      </c>
      <c r="Y38" t="str">
        <f t="shared" si="4"/>
        <v/>
      </c>
      <c r="Z38" t="str">
        <f t="shared" si="5"/>
        <v/>
      </c>
    </row>
    <row r="39" spans="15:26" x14ac:dyDescent="0.3">
      <c r="O39" t="str">
        <f ca="1">IFERROR(INDEX(Roll!$C:$C, MATCH(M39, Roll!$B:$B, 0)), "")</f>
        <v/>
      </c>
      <c r="P39" t="str">
        <f t="shared" ref="P39" ca="1" si="62">IF(O39&lt;&gt;"",IFERROR(MODE(O38:O40), O38), "")</f>
        <v/>
      </c>
      <c r="Q39" t="str">
        <f t="shared" si="0"/>
        <v/>
      </c>
      <c r="R39" t="str">
        <f t="shared" si="1"/>
        <v/>
      </c>
      <c r="S39" t="str">
        <f t="shared" si="2"/>
        <v/>
      </c>
      <c r="V39" t="str">
        <f ca="1">IFERROR(INDEX(Roll!$C:$C, MATCH(T39, Roll!$B:$B, 0)), "")</f>
        <v/>
      </c>
      <c r="W39" t="str">
        <f t="shared" ref="W39" ca="1" si="63">IF(V39&lt;&gt;"",IFERROR(MODE(V38:V40), V38), "")</f>
        <v/>
      </c>
      <c r="X39" t="str">
        <f t="shared" si="3"/>
        <v/>
      </c>
      <c r="Y39" t="str">
        <f t="shared" si="4"/>
        <v/>
      </c>
      <c r="Z39" t="str">
        <f t="shared" si="5"/>
        <v/>
      </c>
    </row>
    <row r="40" spans="15:26" x14ac:dyDescent="0.3">
      <c r="O40" t="str">
        <f ca="1">IFERROR(INDEX(Roll!$C:$C, MATCH(M40, Roll!$B:$B, 0)), "")</f>
        <v/>
      </c>
      <c r="P40" t="str">
        <f t="shared" ref="P40" ca="1" si="64">IF(O40&lt;&gt;"",IFERROR(MODE(O38:O40), O38), "")</f>
        <v/>
      </c>
      <c r="Q40" t="str">
        <f t="shared" si="0"/>
        <v/>
      </c>
      <c r="R40" t="str">
        <f t="shared" si="1"/>
        <v/>
      </c>
      <c r="S40" t="str">
        <f t="shared" si="2"/>
        <v/>
      </c>
      <c r="V40" t="str">
        <f ca="1">IFERROR(INDEX(Roll!$C:$C, MATCH(T40, Roll!$B:$B, 0)), "")</f>
        <v/>
      </c>
      <c r="W40" t="str">
        <f t="shared" ref="W40" ca="1" si="65">IF(V40&lt;&gt;"",IFERROR(MODE(V38:V40), V38), "")</f>
        <v/>
      </c>
      <c r="X40" t="str">
        <f t="shared" si="3"/>
        <v/>
      </c>
      <c r="Y40" t="str">
        <f t="shared" si="4"/>
        <v/>
      </c>
      <c r="Z40" t="str">
        <f t="shared" si="5"/>
        <v/>
      </c>
    </row>
    <row r="41" spans="15:26" x14ac:dyDescent="0.3">
      <c r="O41" t="str">
        <f ca="1">IFERROR(INDEX(Roll!$C:$C, MATCH(M41, Roll!$B:$B, 0)), "")</f>
        <v/>
      </c>
      <c r="P41" t="str">
        <f t="shared" ref="P41" ca="1" si="66">IF(O41&lt;&gt;"", IFERROR(MODE(O41:O43), O41), "")</f>
        <v/>
      </c>
      <c r="Q41" t="str">
        <f t="shared" si="0"/>
        <v/>
      </c>
      <c r="R41" t="str">
        <f t="shared" si="1"/>
        <v/>
      </c>
      <c r="S41" t="str">
        <f t="shared" si="2"/>
        <v/>
      </c>
      <c r="V41" t="str">
        <f ca="1">IFERROR(INDEX(Roll!$C:$C, MATCH(T41, Roll!$B:$B, 0)), "")</f>
        <v/>
      </c>
      <c r="W41" t="str">
        <f t="shared" ref="W41" ca="1" si="67">IF(V41&lt;&gt;"", IFERROR(MODE(V41:V43), V41), "")</f>
        <v/>
      </c>
      <c r="X41" t="str">
        <f t="shared" si="3"/>
        <v/>
      </c>
      <c r="Y41" t="str">
        <f t="shared" si="4"/>
        <v/>
      </c>
      <c r="Z41" t="str">
        <f t="shared" si="5"/>
        <v/>
      </c>
    </row>
    <row r="42" spans="15:26" x14ac:dyDescent="0.3">
      <c r="O42" t="str">
        <f ca="1">IFERROR(INDEX(Roll!$C:$C, MATCH(M42, Roll!$B:$B, 0)), "")</f>
        <v/>
      </c>
      <c r="P42" t="str">
        <f t="shared" ref="P42" ca="1" si="68">IF(O42&lt;&gt;"", IFERROR(MODE(O41:O43), O41), "")</f>
        <v/>
      </c>
      <c r="Q42" t="str">
        <f t="shared" si="0"/>
        <v/>
      </c>
      <c r="R42" t="str">
        <f t="shared" si="1"/>
        <v/>
      </c>
      <c r="S42" t="str">
        <f t="shared" si="2"/>
        <v/>
      </c>
      <c r="V42" t="str">
        <f ca="1">IFERROR(INDEX(Roll!$C:$C, MATCH(T42, Roll!$B:$B, 0)), "")</f>
        <v/>
      </c>
      <c r="W42" t="str">
        <f t="shared" ref="W42" ca="1" si="69">IF(V42&lt;&gt;"", IFERROR(MODE(V41:V43), V41), "")</f>
        <v/>
      </c>
      <c r="X42" t="str">
        <f t="shared" si="3"/>
        <v/>
      </c>
      <c r="Y42" t="str">
        <f t="shared" si="4"/>
        <v/>
      </c>
      <c r="Z42" t="str">
        <f t="shared" si="5"/>
        <v/>
      </c>
    </row>
    <row r="43" spans="15:26" x14ac:dyDescent="0.3">
      <c r="O43" t="str">
        <f ca="1">IFERROR(INDEX(Roll!$C:$C, MATCH(M43, Roll!$B:$B, 0)), "")</f>
        <v/>
      </c>
      <c r="P43" t="str">
        <f t="shared" ref="P43" ca="1" si="70">IF(O43&lt;&gt;"", IFERROR(MODE(O41:O43), O41), "")</f>
        <v/>
      </c>
      <c r="Q43" t="str">
        <f t="shared" si="0"/>
        <v/>
      </c>
      <c r="R43" t="str">
        <f t="shared" si="1"/>
        <v/>
      </c>
      <c r="S43" t="str">
        <f t="shared" si="2"/>
        <v/>
      </c>
      <c r="V43" t="str">
        <f ca="1">IFERROR(INDEX(Roll!$C:$C, MATCH(T43, Roll!$B:$B, 0)), "")</f>
        <v/>
      </c>
      <c r="W43" t="str">
        <f t="shared" ref="W43" ca="1" si="71">IF(V43&lt;&gt;"", IFERROR(MODE(V41:V43), V41), "")</f>
        <v/>
      </c>
      <c r="X43" t="str">
        <f t="shared" si="3"/>
        <v/>
      </c>
      <c r="Y43" t="str">
        <f t="shared" si="4"/>
        <v/>
      </c>
      <c r="Z43" t="str">
        <f t="shared" si="5"/>
        <v/>
      </c>
    </row>
    <row r="44" spans="15:26" x14ac:dyDescent="0.3">
      <c r="O44" t="str">
        <f ca="1">IFERROR(INDEX(Roll!$C:$C, MATCH(M44, Roll!$B:$B, 0)), "")</f>
        <v/>
      </c>
      <c r="P44" t="str">
        <f t="shared" ref="P44" ca="1" si="72">IF(O44&lt;&gt;"",IFERROR(MODE(O44:O46), O44), "")</f>
        <v/>
      </c>
      <c r="Q44" t="str">
        <f t="shared" si="0"/>
        <v/>
      </c>
      <c r="R44" t="str">
        <f t="shared" si="1"/>
        <v/>
      </c>
      <c r="S44" t="str">
        <f t="shared" si="2"/>
        <v/>
      </c>
      <c r="V44" t="str">
        <f ca="1">IFERROR(INDEX(Roll!$C:$C, MATCH(T44, Roll!$B:$B, 0)), "")</f>
        <v/>
      </c>
      <c r="W44" t="str">
        <f t="shared" ca="1" si="31"/>
        <v/>
      </c>
      <c r="X44" t="str">
        <f t="shared" si="3"/>
        <v/>
      </c>
      <c r="Y44" t="str">
        <f t="shared" si="4"/>
        <v/>
      </c>
      <c r="Z44" t="str">
        <f t="shared" si="5"/>
        <v/>
      </c>
    </row>
    <row r="45" spans="15:26" x14ac:dyDescent="0.3">
      <c r="O45" t="str">
        <f ca="1">IFERROR(INDEX(Roll!$C:$C, MATCH(M45, Roll!$B:$B, 0)), "")</f>
        <v/>
      </c>
      <c r="P45" t="str">
        <f t="shared" ref="P45" ca="1" si="73">IF(O45&lt;&gt;"",IFERROR(MODE(O44:O46), O44), "")</f>
        <v/>
      </c>
      <c r="Q45" t="str">
        <f t="shared" si="0"/>
        <v/>
      </c>
      <c r="R45" t="str">
        <f t="shared" si="1"/>
        <v/>
      </c>
      <c r="S45" t="str">
        <f t="shared" si="2"/>
        <v/>
      </c>
      <c r="V45" t="str">
        <f ca="1">IFERROR(INDEX(Roll!$C:$C, MATCH(T45, Roll!$B:$B, 0)), "")</f>
        <v/>
      </c>
      <c r="W45" t="str">
        <f t="shared" ca="1" si="33"/>
        <v/>
      </c>
      <c r="X45" t="str">
        <f t="shared" si="3"/>
        <v/>
      </c>
      <c r="Y45" t="str">
        <f t="shared" si="4"/>
        <v/>
      </c>
      <c r="Z45" t="str">
        <f t="shared" si="5"/>
        <v/>
      </c>
    </row>
    <row r="46" spans="15:26" x14ac:dyDescent="0.3">
      <c r="O46" t="str">
        <f ca="1">IFERROR(INDEX(Roll!$C:$C, MATCH(M46, Roll!$B:$B, 0)), "")</f>
        <v/>
      </c>
      <c r="P46" t="str">
        <f t="shared" ref="P46" ca="1" si="74">IF(O46&lt;&gt;"",IFERROR(MODE(O44:O46), O44), "")</f>
        <v/>
      </c>
      <c r="Q46" t="str">
        <f t="shared" si="0"/>
        <v/>
      </c>
      <c r="R46" t="str">
        <f t="shared" si="1"/>
        <v/>
      </c>
      <c r="S46" t="str">
        <f t="shared" si="2"/>
        <v/>
      </c>
      <c r="V46" t="str">
        <f ca="1">IFERROR(INDEX(Roll!$C:$C, MATCH(T46, Roll!$B:$B, 0)), "")</f>
        <v/>
      </c>
      <c r="W46" t="str">
        <f t="shared" ca="1" si="35"/>
        <v/>
      </c>
      <c r="X46" t="str">
        <f t="shared" si="3"/>
        <v/>
      </c>
      <c r="Y46" t="str">
        <f t="shared" si="4"/>
        <v/>
      </c>
      <c r="Z46" t="str">
        <f t="shared" si="5"/>
        <v/>
      </c>
    </row>
    <row r="47" spans="15:26" x14ac:dyDescent="0.3">
      <c r="O47" t="str">
        <f ca="1">IFERROR(INDEX(Roll!$C:$C, MATCH(M47, Roll!$B:$B, 0)), "")</f>
        <v/>
      </c>
      <c r="P47" t="str">
        <f t="shared" ref="P47" ca="1" si="75">IF(O47&lt;&gt;"", IFERROR(MODE(O47:O49), O47), "")</f>
        <v/>
      </c>
      <c r="Q47" t="str">
        <f t="shared" si="0"/>
        <v/>
      </c>
      <c r="R47" t="str">
        <f t="shared" si="1"/>
        <v/>
      </c>
      <c r="S47" t="str">
        <f t="shared" si="2"/>
        <v/>
      </c>
      <c r="V47" t="str">
        <f ca="1">IFERROR(INDEX(Roll!$C:$C, MATCH(T47, Roll!$B:$B, 0)), "")</f>
        <v/>
      </c>
      <c r="W47" t="str">
        <f t="shared" ca="1" si="37"/>
        <v/>
      </c>
      <c r="X47" t="str">
        <f t="shared" si="3"/>
        <v/>
      </c>
      <c r="Y47" t="str">
        <f t="shared" si="4"/>
        <v/>
      </c>
      <c r="Z47" t="str">
        <f t="shared" si="5"/>
        <v/>
      </c>
    </row>
    <row r="48" spans="15:26" x14ac:dyDescent="0.3">
      <c r="O48" t="str">
        <f ca="1">IFERROR(INDEX(Roll!$C:$C, MATCH(M48, Roll!$B:$B, 0)), "")</f>
        <v/>
      </c>
      <c r="P48" t="str">
        <f t="shared" ref="P48" ca="1" si="76">IF(O48&lt;&gt;"", IFERROR(MODE(O47:O49), O47), "")</f>
        <v/>
      </c>
      <c r="Q48" t="str">
        <f t="shared" si="0"/>
        <v/>
      </c>
      <c r="R48" t="str">
        <f t="shared" si="1"/>
        <v/>
      </c>
      <c r="S48" t="str">
        <f t="shared" si="2"/>
        <v/>
      </c>
      <c r="V48" t="str">
        <f ca="1">IFERROR(INDEX(Roll!$C:$C, MATCH(T48, Roll!$B:$B, 0)), "")</f>
        <v/>
      </c>
      <c r="W48" t="str">
        <f t="shared" ca="1" si="39"/>
        <v/>
      </c>
      <c r="X48" t="str">
        <f t="shared" si="3"/>
        <v/>
      </c>
      <c r="Y48" t="str">
        <f t="shared" si="4"/>
        <v/>
      </c>
      <c r="Z48" t="str">
        <f t="shared" si="5"/>
        <v/>
      </c>
    </row>
    <row r="49" spans="15:26" x14ac:dyDescent="0.3">
      <c r="O49" t="str">
        <f ca="1">IFERROR(INDEX(Roll!$C:$C, MATCH(M49, Roll!$B:$B, 0)), "")</f>
        <v/>
      </c>
      <c r="P49" t="str">
        <f t="shared" ref="P49" ca="1" si="77">IF(O49&lt;&gt;"", IFERROR(MODE(O47:O49), O47), "")</f>
        <v/>
      </c>
      <c r="Q49" t="str">
        <f t="shared" si="0"/>
        <v/>
      </c>
      <c r="R49" t="str">
        <f t="shared" si="1"/>
        <v/>
      </c>
      <c r="S49" t="str">
        <f t="shared" si="2"/>
        <v/>
      </c>
      <c r="V49" t="str">
        <f ca="1">IFERROR(INDEX(Roll!$C:$C, MATCH(T49, Roll!$B:$B, 0)), "")</f>
        <v/>
      </c>
      <c r="W49" t="str">
        <f t="shared" ca="1" si="41"/>
        <v/>
      </c>
      <c r="X49" t="str">
        <f t="shared" si="3"/>
        <v/>
      </c>
      <c r="Y49" t="str">
        <f t="shared" si="4"/>
        <v/>
      </c>
      <c r="Z49" t="str">
        <f t="shared" si="5"/>
        <v/>
      </c>
    </row>
    <row r="50" spans="15:26" x14ac:dyDescent="0.3">
      <c r="O50" t="str">
        <f ca="1">IFERROR(INDEX(Roll!$C:$C, MATCH(M50, Roll!$B:$B, 0)), "")</f>
        <v/>
      </c>
      <c r="P50" t="str">
        <f t="shared" ref="P50" ca="1" si="78">IF(O50&lt;&gt;"",IFERROR(MODE(O50:O52), O50), "")</f>
        <v/>
      </c>
      <c r="Q50" t="str">
        <f t="shared" si="0"/>
        <v/>
      </c>
      <c r="R50" t="str">
        <f t="shared" si="1"/>
        <v/>
      </c>
      <c r="S50" t="str">
        <f t="shared" si="2"/>
        <v/>
      </c>
      <c r="V50" t="str">
        <f ca="1">IFERROR(INDEX(Roll!$C:$C, MATCH(T50, Roll!$B:$B, 0)), "")</f>
        <v/>
      </c>
      <c r="W50" t="str">
        <f t="shared" ref="W50" ca="1" si="79">IF(V50&lt;&gt;"",IFERROR(MODE(V50:V52), V50), "")</f>
        <v/>
      </c>
      <c r="X50" t="str">
        <f t="shared" si="3"/>
        <v/>
      </c>
      <c r="Y50" t="str">
        <f t="shared" si="4"/>
        <v/>
      </c>
      <c r="Z50" t="str">
        <f t="shared" si="5"/>
        <v/>
      </c>
    </row>
    <row r="51" spans="15:26" x14ac:dyDescent="0.3">
      <c r="O51" t="str">
        <f ca="1">IFERROR(INDEX(Roll!$C:$C, MATCH(M51, Roll!$B:$B, 0)), "")</f>
        <v/>
      </c>
      <c r="P51" t="str">
        <f t="shared" ref="P51" ca="1" si="80">IF(O51&lt;&gt;"",IFERROR(MODE(O50:O52), O50), "")</f>
        <v/>
      </c>
      <c r="Q51" t="str">
        <f t="shared" si="0"/>
        <v/>
      </c>
      <c r="R51" t="str">
        <f t="shared" si="1"/>
        <v/>
      </c>
      <c r="S51" t="str">
        <f t="shared" si="2"/>
        <v/>
      </c>
      <c r="V51" t="str">
        <f ca="1">IFERROR(INDEX(Roll!$C:$C, MATCH(T51, Roll!$B:$B, 0)), "")</f>
        <v/>
      </c>
      <c r="W51" t="str">
        <f t="shared" ref="W51" ca="1" si="81">IF(V51&lt;&gt;"",IFERROR(MODE(V50:V52), V50), "")</f>
        <v/>
      </c>
      <c r="X51" t="str">
        <f t="shared" si="3"/>
        <v/>
      </c>
      <c r="Y51" t="str">
        <f t="shared" si="4"/>
        <v/>
      </c>
      <c r="Z51" t="str">
        <f t="shared" si="5"/>
        <v/>
      </c>
    </row>
    <row r="52" spans="15:26" x14ac:dyDescent="0.3">
      <c r="O52" t="str">
        <f ca="1">IFERROR(INDEX(Roll!$C:$C, MATCH(M52, Roll!$B:$B, 0)), "")</f>
        <v/>
      </c>
      <c r="P52" t="str">
        <f t="shared" ref="P52" ca="1" si="82">IF(O52&lt;&gt;"",IFERROR(MODE(O50:O52), O50), "")</f>
        <v/>
      </c>
      <c r="Q52" t="str">
        <f t="shared" si="0"/>
        <v/>
      </c>
      <c r="R52" t="str">
        <f t="shared" si="1"/>
        <v/>
      </c>
      <c r="S52" t="str">
        <f t="shared" si="2"/>
        <v/>
      </c>
      <c r="V52" t="str">
        <f ca="1">IFERROR(INDEX(Roll!$C:$C, MATCH(T52, Roll!$B:$B, 0)), "")</f>
        <v/>
      </c>
      <c r="W52" t="str">
        <f t="shared" ref="W52" ca="1" si="83">IF(V52&lt;&gt;"",IFERROR(MODE(V50:V52), V50), "")</f>
        <v/>
      </c>
      <c r="X52" t="str">
        <f t="shared" si="3"/>
        <v/>
      </c>
      <c r="Y52" t="str">
        <f t="shared" si="4"/>
        <v/>
      </c>
      <c r="Z52" t="str">
        <f t="shared" si="5"/>
        <v/>
      </c>
    </row>
    <row r="53" spans="15:26" x14ac:dyDescent="0.3">
      <c r="O53" t="str">
        <f ca="1">IFERROR(INDEX(Roll!$C:$C, MATCH(M53, Roll!$B:$B, 0)), "")</f>
        <v/>
      </c>
      <c r="P53" t="str">
        <f t="shared" ref="P53" ca="1" si="84">IF(O53&lt;&gt;"", IFERROR(MODE(O53:O55), O53), "")</f>
        <v/>
      </c>
      <c r="Q53" t="str">
        <f t="shared" si="0"/>
        <v/>
      </c>
      <c r="R53" t="str">
        <f t="shared" si="1"/>
        <v/>
      </c>
      <c r="S53" t="str">
        <f t="shared" si="2"/>
        <v/>
      </c>
      <c r="V53" t="str">
        <f ca="1">IFERROR(INDEX(Roll!$C:$C, MATCH(T53, Roll!$B:$B, 0)), "")</f>
        <v/>
      </c>
      <c r="W53" t="str">
        <f t="shared" ref="W53" ca="1" si="85">IF(V53&lt;&gt;"", IFERROR(MODE(V53:V55), V53), "")</f>
        <v/>
      </c>
      <c r="X53" t="str">
        <f t="shared" si="3"/>
        <v/>
      </c>
      <c r="Y53" t="str">
        <f t="shared" si="4"/>
        <v/>
      </c>
      <c r="Z53" t="str">
        <f t="shared" si="5"/>
        <v/>
      </c>
    </row>
    <row r="54" spans="15:26" x14ac:dyDescent="0.3">
      <c r="O54" t="str">
        <f ca="1">IFERROR(INDEX(Roll!$C:$C, MATCH(M54, Roll!$B:$B, 0)), "")</f>
        <v/>
      </c>
      <c r="P54" t="str">
        <f t="shared" ref="P54" ca="1" si="86">IF(O54&lt;&gt;"", IFERROR(MODE(O53:O55), O53), "")</f>
        <v/>
      </c>
      <c r="Q54" t="str">
        <f t="shared" si="0"/>
        <v/>
      </c>
      <c r="R54" t="str">
        <f t="shared" si="1"/>
        <v/>
      </c>
      <c r="S54" t="str">
        <f t="shared" si="2"/>
        <v/>
      </c>
      <c r="V54" t="str">
        <f ca="1">IFERROR(INDEX(Roll!$C:$C, MATCH(T54, Roll!$B:$B, 0)), "")</f>
        <v/>
      </c>
      <c r="W54" t="str">
        <f t="shared" ref="W54" ca="1" si="87">IF(V54&lt;&gt;"", IFERROR(MODE(V53:V55), V53), "")</f>
        <v/>
      </c>
      <c r="X54" t="str">
        <f t="shared" si="3"/>
        <v/>
      </c>
      <c r="Y54" t="str">
        <f t="shared" si="4"/>
        <v/>
      </c>
      <c r="Z54" t="str">
        <f t="shared" si="5"/>
        <v/>
      </c>
    </row>
    <row r="55" spans="15:26" x14ac:dyDescent="0.3">
      <c r="O55" t="str">
        <f ca="1">IFERROR(INDEX(Roll!$C:$C, MATCH(M55, Roll!$B:$B, 0)), "")</f>
        <v/>
      </c>
      <c r="P55" t="str">
        <f t="shared" ref="P55" ca="1" si="88">IF(O55&lt;&gt;"", IFERROR(MODE(O53:O55), O53), "")</f>
        <v/>
      </c>
      <c r="Q55" t="str">
        <f t="shared" si="0"/>
        <v/>
      </c>
      <c r="R55" t="str">
        <f t="shared" si="1"/>
        <v/>
      </c>
      <c r="S55" t="str">
        <f t="shared" si="2"/>
        <v/>
      </c>
      <c r="V55" t="str">
        <f ca="1">IFERROR(INDEX(Roll!$C:$C, MATCH(T55, Roll!$B:$B, 0)), "")</f>
        <v/>
      </c>
      <c r="W55" t="str">
        <f t="shared" ref="W55" ca="1" si="89">IF(V55&lt;&gt;"", IFERROR(MODE(V53:V55), V53), "")</f>
        <v/>
      </c>
      <c r="X55" t="str">
        <f t="shared" si="3"/>
        <v/>
      </c>
      <c r="Y55" t="str">
        <f t="shared" si="4"/>
        <v/>
      </c>
      <c r="Z55" t="str">
        <f t="shared" si="5"/>
        <v/>
      </c>
    </row>
    <row r="56" spans="15:26" x14ac:dyDescent="0.3">
      <c r="O56" t="str">
        <f ca="1">IFERROR(INDEX(Roll!$C:$C, MATCH(M56, Roll!$B:$B, 0)), "")</f>
        <v/>
      </c>
      <c r="P56" t="str">
        <f t="shared" ref="P56" ca="1" si="90">IF(O56&lt;&gt;"",IFERROR(MODE(O56:O58), O56), "")</f>
        <v/>
      </c>
      <c r="Q56" t="str">
        <f t="shared" si="0"/>
        <v/>
      </c>
      <c r="R56" t="str">
        <f t="shared" si="1"/>
        <v/>
      </c>
      <c r="S56" t="str">
        <f t="shared" si="2"/>
        <v/>
      </c>
      <c r="V56" t="str">
        <f ca="1">IFERROR(INDEX(Roll!$C:$C, MATCH(T56, Roll!$B:$B, 0)), "")</f>
        <v/>
      </c>
      <c r="W56" t="str">
        <f t="shared" ca="1" si="31"/>
        <v/>
      </c>
      <c r="X56" t="str">
        <f t="shared" si="3"/>
        <v/>
      </c>
      <c r="Y56" t="str">
        <f t="shared" si="4"/>
        <v/>
      </c>
      <c r="Z56" t="str">
        <f t="shared" si="5"/>
        <v/>
      </c>
    </row>
    <row r="57" spans="15:26" x14ac:dyDescent="0.3">
      <c r="O57" t="str">
        <f ca="1">IFERROR(INDEX(Roll!$C:$C, MATCH(M57, Roll!$B:$B, 0)), "")</f>
        <v/>
      </c>
      <c r="P57" t="str">
        <f t="shared" ref="P57" ca="1" si="91">IF(O57&lt;&gt;"",IFERROR(MODE(O56:O58), O56), "")</f>
        <v/>
      </c>
      <c r="Q57" t="str">
        <f t="shared" si="0"/>
        <v/>
      </c>
      <c r="R57" t="str">
        <f t="shared" si="1"/>
        <v/>
      </c>
      <c r="S57" t="str">
        <f t="shared" si="2"/>
        <v/>
      </c>
      <c r="V57" t="str">
        <f ca="1">IFERROR(INDEX(Roll!$C:$C, MATCH(T57, Roll!$B:$B, 0)), "")</f>
        <v/>
      </c>
      <c r="W57" t="str">
        <f t="shared" ca="1" si="33"/>
        <v/>
      </c>
      <c r="X57" t="str">
        <f t="shared" si="3"/>
        <v/>
      </c>
      <c r="Y57" t="str">
        <f t="shared" si="4"/>
        <v/>
      </c>
      <c r="Z57" t="str">
        <f t="shared" si="5"/>
        <v/>
      </c>
    </row>
    <row r="58" spans="15:26" x14ac:dyDescent="0.3">
      <c r="O58" t="str">
        <f ca="1">IFERROR(INDEX(Roll!$C:$C, MATCH(M58, Roll!$B:$B, 0)), "")</f>
        <v/>
      </c>
      <c r="P58" t="str">
        <f t="shared" ref="P58" ca="1" si="92">IF(O58&lt;&gt;"",IFERROR(MODE(O56:O58), O56), "")</f>
        <v/>
      </c>
      <c r="Q58" t="str">
        <f t="shared" si="0"/>
        <v/>
      </c>
      <c r="R58" t="str">
        <f t="shared" si="1"/>
        <v/>
      </c>
      <c r="S58" t="str">
        <f t="shared" si="2"/>
        <v/>
      </c>
      <c r="V58" t="str">
        <f ca="1">IFERROR(INDEX(Roll!$C:$C, MATCH(T58, Roll!$B:$B, 0)), "")</f>
        <v/>
      </c>
      <c r="W58" t="str">
        <f t="shared" ca="1" si="35"/>
        <v/>
      </c>
      <c r="X58" t="str">
        <f t="shared" si="3"/>
        <v/>
      </c>
      <c r="Y58" t="str">
        <f t="shared" si="4"/>
        <v/>
      </c>
      <c r="Z58" t="str">
        <f t="shared" si="5"/>
        <v/>
      </c>
    </row>
    <row r="59" spans="15:26" x14ac:dyDescent="0.3">
      <c r="O59" t="str">
        <f ca="1">IFERROR(INDEX(Roll!$C:$C, MATCH(M59, Roll!$B:$B, 0)), "")</f>
        <v/>
      </c>
      <c r="P59" t="str">
        <f t="shared" ref="P59" ca="1" si="93">IF(O59&lt;&gt;"", IFERROR(MODE(O59:O61), O59), "")</f>
        <v/>
      </c>
      <c r="Q59" t="str">
        <f t="shared" si="0"/>
        <v/>
      </c>
      <c r="R59" t="str">
        <f t="shared" si="1"/>
        <v/>
      </c>
      <c r="S59" t="str">
        <f t="shared" si="2"/>
        <v/>
      </c>
      <c r="V59" t="str">
        <f ca="1">IFERROR(INDEX(Roll!$C:$C, MATCH(T59, Roll!$B:$B, 0)), "")</f>
        <v/>
      </c>
      <c r="W59" t="str">
        <f t="shared" ca="1" si="37"/>
        <v/>
      </c>
      <c r="X59" t="str">
        <f t="shared" si="3"/>
        <v/>
      </c>
      <c r="Y59" t="str">
        <f t="shared" si="4"/>
        <v/>
      </c>
      <c r="Z59" t="str">
        <f t="shared" si="5"/>
        <v/>
      </c>
    </row>
    <row r="60" spans="15:26" x14ac:dyDescent="0.3">
      <c r="O60" t="str">
        <f ca="1">IFERROR(INDEX(Roll!$C:$C, MATCH(M60, Roll!$B:$B, 0)), "")</f>
        <v/>
      </c>
      <c r="P60" t="str">
        <f t="shared" ref="P60" ca="1" si="94">IF(O60&lt;&gt;"", IFERROR(MODE(O59:O61), O59), "")</f>
        <v/>
      </c>
      <c r="Q60" t="str">
        <f t="shared" si="0"/>
        <v/>
      </c>
      <c r="R60" t="str">
        <f t="shared" si="1"/>
        <v/>
      </c>
      <c r="S60" t="str">
        <f t="shared" si="2"/>
        <v/>
      </c>
      <c r="V60" t="str">
        <f ca="1">IFERROR(INDEX(Roll!$C:$C, MATCH(T60, Roll!$B:$B, 0)), "")</f>
        <v/>
      </c>
      <c r="W60" t="str">
        <f t="shared" ca="1" si="39"/>
        <v/>
      </c>
      <c r="X60" t="str">
        <f t="shared" si="3"/>
        <v/>
      </c>
      <c r="Y60" t="str">
        <f t="shared" si="4"/>
        <v/>
      </c>
      <c r="Z60" t="str">
        <f t="shared" si="5"/>
        <v/>
      </c>
    </row>
    <row r="61" spans="15:26" x14ac:dyDescent="0.3">
      <c r="O61" t="str">
        <f ca="1">IFERROR(INDEX(Roll!$C:$C, MATCH(M61, Roll!$B:$B, 0)), "")</f>
        <v/>
      </c>
      <c r="V61" t="str">
        <f ca="1">IFERROR(INDEX(Roll!$C:$C, MATCH(T61, Roll!$B:$B, 0)), "")</f>
        <v/>
      </c>
    </row>
    <row r="62" spans="15:26" x14ac:dyDescent="0.3">
      <c r="O62" t="str">
        <f ca="1">IFERROR(INDEX(Roll!$C:$C, MATCH(M62, Roll!$B:$B, 0)), "")</f>
        <v/>
      </c>
      <c r="V62" t="str">
        <f ca="1">IFERROR(INDEX(Roll!$C:$C, MATCH(T62, Roll!$B:$B, 0)), "")</f>
        <v/>
      </c>
    </row>
    <row r="63" spans="15:26" x14ac:dyDescent="0.3">
      <c r="O63" t="str">
        <f ca="1">IFERROR(INDEX(Roll!$C:$C, MATCH(M63, Roll!$B:$B, 0)), "")</f>
        <v/>
      </c>
      <c r="V63" t="str">
        <f ca="1">IFERROR(INDEX(Roll!$C:$C, MATCH(T63, Roll!$B:$B, 0)), "")</f>
        <v/>
      </c>
    </row>
    <row r="64" spans="15:26" x14ac:dyDescent="0.3">
      <c r="O64" t="str">
        <f ca="1">IFERROR(INDEX(Roll!$C:$C, MATCH(M64, Roll!$B:$B, 0)), "")</f>
        <v/>
      </c>
      <c r="V64" t="str">
        <f ca="1">IFERROR(INDEX(Roll!$C:$C, MATCH(T64, Roll!$B:$B, 0)), "")</f>
        <v/>
      </c>
    </row>
    <row r="65" spans="15:22" x14ac:dyDescent="0.3">
      <c r="O65" t="str">
        <f ca="1">IFERROR(INDEX(Roll!$C:$C, MATCH(M65, Roll!$B:$B, 0)), "")</f>
        <v/>
      </c>
      <c r="V65" t="str">
        <f ca="1">IFERROR(INDEX(Roll!$C:$C, MATCH(T65, Roll!$B:$B, 0)), "")</f>
        <v/>
      </c>
    </row>
    <row r="66" spans="15:22" x14ac:dyDescent="0.3">
      <c r="O66" t="str">
        <f ca="1">IFERROR(INDEX(Roll!$C:$C, MATCH(M66, Roll!$B:$B, 0)), "")</f>
        <v/>
      </c>
      <c r="V66" t="str">
        <f ca="1">IFERROR(INDEX(Roll!$C:$C, MATCH(T66, Roll!$B:$B, 0)), "")</f>
        <v/>
      </c>
    </row>
    <row r="67" spans="15:22" x14ac:dyDescent="0.3">
      <c r="O67" t="str">
        <f ca="1">IFERROR(INDEX(Roll!$C:$C, MATCH(M67, Roll!$B:$B, 0)), "")</f>
        <v/>
      </c>
      <c r="V67" t="str">
        <f ca="1">IFERROR(INDEX(Roll!$C:$C, MATCH(T67, Roll!$B:$B, 0)), "")</f>
        <v/>
      </c>
    </row>
    <row r="68" spans="15:22" x14ac:dyDescent="0.3">
      <c r="O68" t="str">
        <f ca="1">IFERROR(INDEX(Roll!$C:$C, MATCH(M68, Roll!$B:$B, 0)), "")</f>
        <v/>
      </c>
      <c r="V68" t="str">
        <f ca="1">IFERROR(INDEX(Roll!$C:$C, MATCH(T68, Roll!$B:$B, 0)), "")</f>
        <v/>
      </c>
    </row>
    <row r="69" spans="15:22" x14ac:dyDescent="0.3">
      <c r="O69" t="str">
        <f ca="1">IFERROR(INDEX(Roll!$C:$C, MATCH(M69, Roll!$B:$B, 0)), "")</f>
        <v/>
      </c>
      <c r="V69" t="str">
        <f ca="1">IFERROR(INDEX(Roll!$C:$C, MATCH(T69, Roll!$B:$B, 0)), "")</f>
        <v/>
      </c>
    </row>
    <row r="70" spans="15:22" x14ac:dyDescent="0.3">
      <c r="O70" t="str">
        <f ca="1">IFERROR(INDEX(Roll!$C:$C, MATCH(M70, Roll!$B:$B, 0)), "")</f>
        <v/>
      </c>
      <c r="V70" t="str">
        <f ca="1">IFERROR(INDEX(Roll!$C:$C, MATCH(T70, Roll!$B:$B, 0)), "")</f>
        <v/>
      </c>
    </row>
    <row r="71" spans="15:22" x14ac:dyDescent="0.3">
      <c r="O71" t="str">
        <f ca="1">IFERROR(INDEX(Roll!$C:$C, MATCH(M71, Roll!$B:$B, 0)), "")</f>
        <v/>
      </c>
      <c r="V71" t="str">
        <f ca="1">IFERROR(INDEX(Roll!$C:$C, MATCH(T71, Roll!$B:$B, 0)), "")</f>
        <v/>
      </c>
    </row>
    <row r="72" spans="15:22" x14ac:dyDescent="0.3">
      <c r="O72" t="str">
        <f ca="1">IFERROR(INDEX(Roll!$C:$C, MATCH(M72, Roll!$B:$B, 0)), "")</f>
        <v/>
      </c>
      <c r="V72" t="str">
        <f ca="1">IFERROR(INDEX(Roll!$C:$C, MATCH(T72, Roll!$B:$B, 0)), "")</f>
        <v/>
      </c>
    </row>
    <row r="73" spans="15:22" x14ac:dyDescent="0.3">
      <c r="O73" t="str">
        <f ca="1">IFERROR(INDEX(Roll!$C:$C, MATCH(M73, Roll!$B:$B, 0)), "")</f>
        <v/>
      </c>
      <c r="V73" t="str">
        <f ca="1">IFERROR(INDEX(Roll!$C:$C, MATCH(T73, Roll!$B:$B, 0)), "")</f>
        <v/>
      </c>
    </row>
    <row r="74" spans="15:22" x14ac:dyDescent="0.3">
      <c r="O74" t="str">
        <f ca="1">IFERROR(INDEX(Roll!$C:$C, MATCH(M74, Roll!$B:$B, 0)), "")</f>
        <v/>
      </c>
      <c r="V74" t="str">
        <f ca="1">IFERROR(INDEX(Roll!$C:$C, MATCH(T74, Roll!$B:$B, 0)), "")</f>
        <v/>
      </c>
    </row>
    <row r="75" spans="15:22" x14ac:dyDescent="0.3">
      <c r="O75" t="str">
        <f ca="1">IFERROR(INDEX(Roll!$C:$C, MATCH(M75, Roll!$B:$B, 0)), "")</f>
        <v/>
      </c>
      <c r="V75" t="str">
        <f ca="1">IFERROR(INDEX(Roll!$C:$C, MATCH(T75, Roll!$B:$B, 0)), "")</f>
        <v/>
      </c>
    </row>
    <row r="76" spans="15:22" x14ac:dyDescent="0.3">
      <c r="O76" t="str">
        <f ca="1">IFERROR(INDEX(Roll!$C:$C, MATCH(M76, Roll!$B:$B, 0)), "")</f>
        <v/>
      </c>
      <c r="V76" t="str">
        <f ca="1">IFERROR(INDEX(Roll!$C:$C, MATCH(T76, Roll!$B:$B, 0)), "")</f>
        <v/>
      </c>
    </row>
    <row r="77" spans="15:22" x14ac:dyDescent="0.3">
      <c r="O77" t="str">
        <f ca="1">IFERROR(INDEX(Roll!$C:$C, MATCH(M77, Roll!$B:$B, 0)), "")</f>
        <v/>
      </c>
      <c r="V77" t="str">
        <f ca="1">IFERROR(INDEX(Roll!$C:$C, MATCH(T77, Roll!$B:$B, 0)), "")</f>
        <v/>
      </c>
    </row>
    <row r="78" spans="15:22" x14ac:dyDescent="0.3">
      <c r="O78" t="str">
        <f ca="1">IFERROR(INDEX(Roll!$C:$C, MATCH(M78, Roll!$B:$B, 0)), "")</f>
        <v/>
      </c>
      <c r="V78" t="str">
        <f ca="1">IFERROR(INDEX(Roll!$C:$C, MATCH(T78, Roll!$B:$B, 0)), "")</f>
        <v/>
      </c>
    </row>
    <row r="79" spans="15:22" x14ac:dyDescent="0.3">
      <c r="O79" t="str">
        <f ca="1">IFERROR(INDEX(Roll!$C:$C, MATCH(M79, Roll!$B:$B, 0)), "")</f>
        <v/>
      </c>
      <c r="V79" t="str">
        <f ca="1">IFERROR(INDEX(Roll!$C:$C, MATCH(T79, Roll!$B:$B, 0)), "")</f>
        <v/>
      </c>
    </row>
    <row r="80" spans="15:22" x14ac:dyDescent="0.3">
      <c r="O80" t="str">
        <f ca="1">IFERROR(INDEX(Roll!$C:$C, MATCH(M80, Roll!$B:$B, 0)), "")</f>
        <v/>
      </c>
      <c r="V80" t="str">
        <f ca="1">IFERROR(INDEX(Roll!$C:$C, MATCH(T80, Roll!$B:$B, 0)), "")</f>
        <v/>
      </c>
    </row>
    <row r="81" spans="15:22" x14ac:dyDescent="0.3">
      <c r="O81" t="str">
        <f ca="1">IFERROR(INDEX(Roll!$C:$C, MATCH(M81, Roll!$B:$B, 0)), "")</f>
        <v/>
      </c>
      <c r="V81" t="str">
        <f ca="1">IFERROR(INDEX(Roll!$C:$C, MATCH(T81, Roll!$B:$B, 0)), "")</f>
        <v/>
      </c>
    </row>
    <row r="82" spans="15:22" x14ac:dyDescent="0.3">
      <c r="O82" t="str">
        <f ca="1">IFERROR(INDEX(Roll!$C:$C, MATCH(M82, Roll!$B:$B, 0)), "")</f>
        <v/>
      </c>
      <c r="V82" t="str">
        <f ca="1">IFERROR(INDEX(Roll!$C:$C, MATCH(T82, Roll!$B:$B, 0)), "")</f>
        <v/>
      </c>
    </row>
    <row r="83" spans="15:22" x14ac:dyDescent="0.3">
      <c r="O83" t="str">
        <f ca="1">IFERROR(INDEX(Roll!$C:$C, MATCH(M83, Roll!$B:$B, 0)), "")</f>
        <v/>
      </c>
      <c r="V83" t="str">
        <f ca="1">IFERROR(INDEX(Roll!$C:$C, MATCH(T83, Roll!$B:$B, 0)), "")</f>
        <v/>
      </c>
    </row>
    <row r="84" spans="15:22" x14ac:dyDescent="0.3">
      <c r="O84" t="str">
        <f ca="1">IFERROR(INDEX(Roll!$C:$C, MATCH(M84, Roll!$B:$B, 0)), "")</f>
        <v/>
      </c>
      <c r="V84" t="str">
        <f ca="1">IFERROR(INDEX(Roll!$C:$C, MATCH(T84, Roll!$B:$B, 0)), "")</f>
        <v/>
      </c>
    </row>
    <row r="85" spans="15:22" x14ac:dyDescent="0.3">
      <c r="O85" t="str">
        <f ca="1">IFERROR(INDEX(Roll!$C:$C, MATCH(M85, Roll!$B:$B, 0)), "")</f>
        <v/>
      </c>
      <c r="V85" t="str">
        <f ca="1">IFERROR(INDEX(Roll!$C:$C, MATCH(T85, Roll!$B:$B, 0)), "")</f>
        <v/>
      </c>
    </row>
    <row r="86" spans="15:22" x14ac:dyDescent="0.3">
      <c r="O86" t="str">
        <f ca="1">IFERROR(INDEX(Roll!$C:$C, MATCH(M86, Roll!$B:$B, 0)), "")</f>
        <v/>
      </c>
      <c r="V86" t="str">
        <f ca="1">IFERROR(INDEX(Roll!$C:$C, MATCH(T86, Roll!$B:$B, 0)), "")</f>
        <v/>
      </c>
    </row>
    <row r="87" spans="15:22" x14ac:dyDescent="0.3">
      <c r="O87" t="str">
        <f ca="1">IFERROR(INDEX(Roll!$C:$C, MATCH(M87, Roll!$B:$B, 0)), "")</f>
        <v/>
      </c>
      <c r="V87" t="str">
        <f ca="1">IFERROR(INDEX(Roll!$C:$C, MATCH(T87, Roll!$B:$B, 0)), "")</f>
        <v/>
      </c>
    </row>
    <row r="88" spans="15:22" x14ac:dyDescent="0.3">
      <c r="O88" t="str">
        <f ca="1">IFERROR(INDEX(Roll!$C:$C, MATCH(M88, Roll!$B:$B, 0)), "")</f>
        <v/>
      </c>
      <c r="V88" t="str">
        <f ca="1">IFERROR(INDEX(Roll!$C:$C, MATCH(T88, Roll!$B:$B, 0)), "")</f>
        <v/>
      </c>
    </row>
    <row r="89" spans="15:22" x14ac:dyDescent="0.3">
      <c r="O89" t="str">
        <f ca="1">IFERROR(INDEX(Roll!$C:$C, MATCH(M89, Roll!$B:$B, 0)), "")</f>
        <v/>
      </c>
      <c r="V89" t="str">
        <f ca="1">IFERROR(INDEX(Roll!$C:$C, MATCH(T89, Roll!$B:$B, 0)), "")</f>
        <v/>
      </c>
    </row>
    <row r="90" spans="15:22" x14ac:dyDescent="0.3">
      <c r="O90" t="str">
        <f ca="1">IFERROR(INDEX(Roll!$C:$C, MATCH(M90, Roll!$B:$B, 0)), "")</f>
        <v/>
      </c>
      <c r="V90" t="str">
        <f ca="1">IFERROR(INDEX(Roll!$C:$C, MATCH(T90, Roll!$B:$B, 0)), "")</f>
        <v/>
      </c>
    </row>
    <row r="91" spans="15:22" x14ac:dyDescent="0.3">
      <c r="O91" t="str">
        <f ca="1">IFERROR(INDEX(Roll!$C:$C, MATCH(M91, Roll!$B:$B, 0)), "")</f>
        <v/>
      </c>
      <c r="V91" t="str">
        <f ca="1">IFERROR(INDEX(Roll!$C:$C, MATCH(T91, Roll!$B:$B, 0)), "")</f>
        <v/>
      </c>
    </row>
    <row r="92" spans="15:22" x14ac:dyDescent="0.3">
      <c r="O92" t="str">
        <f ca="1">IFERROR(INDEX(Roll!$C:$C, MATCH(M92, Roll!$B:$B, 0)), "")</f>
        <v/>
      </c>
      <c r="V92" t="str">
        <f ca="1">IFERROR(INDEX(Roll!$C:$C, MATCH(T92, Roll!$B:$B, 0)), "")</f>
        <v/>
      </c>
    </row>
    <row r="93" spans="15:22" x14ac:dyDescent="0.3">
      <c r="O93" t="str">
        <f ca="1">IFERROR(INDEX(Roll!$C:$C, MATCH(M93, Roll!$B:$B, 0)), "")</f>
        <v/>
      </c>
      <c r="V93" t="str">
        <f ca="1">IFERROR(INDEX(Roll!$C:$C, MATCH(T93, Roll!$B:$B, 0)), "")</f>
        <v/>
      </c>
    </row>
    <row r="94" spans="15:22" x14ac:dyDescent="0.3">
      <c r="O94" t="str">
        <f ca="1">IFERROR(INDEX(Roll!$C:$C, MATCH(M94, Roll!$B:$B, 0)), "")</f>
        <v/>
      </c>
      <c r="V94" t="str">
        <f ca="1">IFERROR(INDEX(Roll!$C:$C, MATCH(T94, Roll!$B:$B, 0)), "")</f>
        <v/>
      </c>
    </row>
    <row r="95" spans="15:22" x14ac:dyDescent="0.3">
      <c r="O95" t="str">
        <f ca="1">IFERROR(INDEX(Roll!$C:$C, MATCH(M95, Roll!$B:$B, 0)), "")</f>
        <v/>
      </c>
      <c r="V95" t="str">
        <f ca="1">IFERROR(INDEX(Roll!$C:$C, MATCH(T95, Roll!$B:$B, 0)), "")</f>
        <v/>
      </c>
    </row>
    <row r="96" spans="15:22" x14ac:dyDescent="0.3">
      <c r="O96" t="str">
        <f ca="1">IFERROR(INDEX(Roll!$C:$C, MATCH(M96, Roll!$B:$B, 0)), "")</f>
        <v/>
      </c>
      <c r="V96" t="str">
        <f ca="1">IFERROR(INDEX(Roll!$C:$C, MATCH(T96, Roll!$B:$B, 0)), "")</f>
        <v/>
      </c>
    </row>
    <row r="97" spans="15:22" x14ac:dyDescent="0.3">
      <c r="O97" t="str">
        <f ca="1">IFERROR(INDEX(Roll!$C:$C, MATCH(M97, Roll!$B:$B, 0)), "")</f>
        <v/>
      </c>
      <c r="V97" t="str">
        <f ca="1">IFERROR(INDEX(Roll!$C:$C, MATCH(T97, Roll!$B:$B, 0)), "")</f>
        <v/>
      </c>
    </row>
    <row r="98" spans="15:22" x14ac:dyDescent="0.3">
      <c r="O98" t="str">
        <f ca="1">IFERROR(INDEX(Roll!$C:$C, MATCH(M98, Roll!$B:$B, 0)), "")</f>
        <v/>
      </c>
      <c r="V98" t="str">
        <f ca="1">IFERROR(INDEX(Roll!$C:$C, MATCH(T98, Roll!$B:$B, 0)), "")</f>
        <v/>
      </c>
    </row>
    <row r="99" spans="15:22" x14ac:dyDescent="0.3">
      <c r="O99" t="str">
        <f ca="1">IFERROR(INDEX(Roll!$C:$C, MATCH(M99, Roll!$B:$B, 0)), "")</f>
        <v/>
      </c>
      <c r="V99" t="str">
        <f ca="1">IFERROR(INDEX(Roll!$C:$C, MATCH(T99, Roll!$B:$B, 0)), "")</f>
        <v/>
      </c>
    </row>
    <row r="100" spans="15:22" x14ac:dyDescent="0.3">
      <c r="O100" t="str">
        <f ca="1">IFERROR(INDEX(Roll!$C:$C, MATCH(M100, Roll!$B:$B, 0)), "")</f>
        <v/>
      </c>
      <c r="V100" t="str">
        <f ca="1">IFERROR(INDEX(Roll!$C:$C, MATCH(T100, Roll!$B:$B, 0)), "")</f>
        <v/>
      </c>
    </row>
    <row r="101" spans="15:22" x14ac:dyDescent="0.3">
      <c r="O101" t="str">
        <f ca="1">IFERROR(INDEX(Roll!$C:$C, MATCH(M101, Roll!$B:$B, 0)), "")</f>
        <v/>
      </c>
      <c r="V101" t="str">
        <f ca="1">IFERROR(INDEX(Roll!$C:$C, MATCH(T101, Roll!$B:$B, 0)), "")</f>
        <v/>
      </c>
    </row>
    <row r="102" spans="15:22" x14ac:dyDescent="0.3">
      <c r="O102" t="str">
        <f ca="1">IFERROR(INDEX(Roll!$C:$C, MATCH(M102, Roll!$B:$B, 0)), "")</f>
        <v/>
      </c>
      <c r="V102" t="str">
        <f ca="1">IFERROR(INDEX(Roll!$C:$C, MATCH(T102, Roll!$B:$B, 0)), "")</f>
        <v/>
      </c>
    </row>
    <row r="103" spans="15:22" x14ac:dyDescent="0.3">
      <c r="O103" t="str">
        <f ca="1">IFERROR(INDEX(Roll!$C:$C, MATCH(M103, Roll!$B:$B, 0)), "")</f>
        <v/>
      </c>
      <c r="V103" t="str">
        <f ca="1">IFERROR(INDEX(Roll!$C:$C, MATCH(T103, Roll!$B:$B, 0)), "")</f>
        <v/>
      </c>
    </row>
    <row r="104" spans="15:22" x14ac:dyDescent="0.3">
      <c r="O104" t="str">
        <f ca="1">IFERROR(INDEX(Roll!$C:$C, MATCH(M104, Roll!$B:$B, 0)), "")</f>
        <v/>
      </c>
      <c r="V104" t="str">
        <f ca="1">IFERROR(INDEX(Roll!$C:$C, MATCH(T104, Roll!$B:$B, 0)), "")</f>
        <v/>
      </c>
    </row>
    <row r="105" spans="15:22" x14ac:dyDescent="0.3">
      <c r="O105" t="str">
        <f ca="1">IFERROR(INDEX(Roll!$C:$C, MATCH(M105, Roll!$B:$B, 0)), "")</f>
        <v/>
      </c>
      <c r="V105" t="str">
        <f ca="1">IFERROR(INDEX(Roll!$C:$C, MATCH(T105, Roll!$B:$B, 0)), "")</f>
        <v/>
      </c>
    </row>
    <row r="106" spans="15:22" x14ac:dyDescent="0.3">
      <c r="O106" t="str">
        <f ca="1">IFERROR(INDEX(Roll!$C:$C, MATCH(M106, Roll!$B:$B, 0)), "")</f>
        <v/>
      </c>
      <c r="V106" t="str">
        <f ca="1">IFERROR(INDEX(Roll!$C:$C, MATCH(T106, Roll!$B:$B, 0)), "")</f>
        <v/>
      </c>
    </row>
    <row r="107" spans="15:22" x14ac:dyDescent="0.3">
      <c r="O107" t="str">
        <f ca="1">IFERROR(INDEX(Roll!$C:$C, MATCH(M107, Roll!$B:$B, 0)), "")</f>
        <v/>
      </c>
      <c r="V107" t="str">
        <f ca="1">IFERROR(INDEX(Roll!$C:$C, MATCH(T107, Roll!$B:$B, 0)), "")</f>
        <v/>
      </c>
    </row>
    <row r="108" spans="15:22" x14ac:dyDescent="0.3">
      <c r="O108" t="str">
        <f ca="1">IFERROR(INDEX(Roll!$C:$C, MATCH(M108, Roll!$B:$B, 0)), "")</f>
        <v/>
      </c>
      <c r="V108" t="str">
        <f ca="1">IFERROR(INDEX(Roll!$C:$C, MATCH(T108, Roll!$B:$B, 0)), "")</f>
        <v/>
      </c>
    </row>
    <row r="109" spans="15:22" x14ac:dyDescent="0.3">
      <c r="O109" t="str">
        <f ca="1">IFERROR(INDEX(Roll!$C:$C, MATCH(M109, Roll!$B:$B, 0)), "")</f>
        <v/>
      </c>
      <c r="V109" t="str">
        <f ca="1">IFERROR(INDEX(Roll!$C:$C, MATCH(T109, Roll!$B:$B, 0)), "")</f>
        <v/>
      </c>
    </row>
    <row r="110" spans="15:22" x14ac:dyDescent="0.3">
      <c r="O110" t="str">
        <f ca="1">IFERROR(INDEX(Roll!$C:$C, MATCH(M110, Roll!$B:$B, 0)), "")</f>
        <v/>
      </c>
      <c r="V110" t="str">
        <f ca="1">IFERROR(INDEX(Roll!$C:$C, MATCH(T110, Roll!$B:$B, 0)), "")</f>
        <v/>
      </c>
    </row>
    <row r="111" spans="15:22" x14ac:dyDescent="0.3">
      <c r="O111" t="str">
        <f ca="1">IFERROR(INDEX(Roll!$C:$C, MATCH(M111, Roll!$B:$B, 0)), "")</f>
        <v/>
      </c>
      <c r="V111" t="str">
        <f ca="1">IFERROR(INDEX(Roll!$C:$C, MATCH(T111, Roll!$B:$B, 0)), "")</f>
        <v/>
      </c>
    </row>
    <row r="112" spans="15:22" x14ac:dyDescent="0.3">
      <c r="O112" t="str">
        <f ca="1">IFERROR(INDEX(Roll!$C:$C, MATCH(M112, Roll!$B:$B, 0)), "")</f>
        <v/>
      </c>
      <c r="V112" t="str">
        <f ca="1">IFERROR(INDEX(Roll!$C:$C, MATCH(T112, Roll!$B:$B, 0)), "")</f>
        <v/>
      </c>
    </row>
    <row r="113" spans="15:22" x14ac:dyDescent="0.3">
      <c r="O113" t="str">
        <f ca="1">IFERROR(INDEX(Roll!$C:$C, MATCH(M113, Roll!$B:$B, 0)), "")</f>
        <v/>
      </c>
      <c r="V113" t="str">
        <f ca="1">IFERROR(INDEX(Roll!$C:$C, MATCH(T113, Roll!$B:$B, 0)), "")</f>
        <v/>
      </c>
    </row>
    <row r="114" spans="15:22" x14ac:dyDescent="0.3">
      <c r="O114" t="str">
        <f ca="1">IFERROR(INDEX(Roll!$C:$C, MATCH(M114, Roll!$B:$B, 0)), "")</f>
        <v/>
      </c>
      <c r="V114" t="str">
        <f ca="1">IFERROR(INDEX(Roll!$C:$C, MATCH(T114, Roll!$B:$B, 0)), "")</f>
        <v/>
      </c>
    </row>
    <row r="115" spans="15:22" x14ac:dyDescent="0.3">
      <c r="O115" t="str">
        <f ca="1">IFERROR(INDEX(Roll!$C:$C, MATCH(M115, Roll!$B:$B, 0)), "")</f>
        <v/>
      </c>
      <c r="V115" t="str">
        <f ca="1">IFERROR(INDEX(Roll!$C:$C, MATCH(T115, Roll!$B:$B, 0)), "")</f>
        <v/>
      </c>
    </row>
    <row r="116" spans="15:22" x14ac:dyDescent="0.3">
      <c r="O116" t="str">
        <f ca="1">IFERROR(INDEX(Roll!$C:$C, MATCH(M116, Roll!$B:$B, 0)), "")</f>
        <v/>
      </c>
      <c r="V116" t="str">
        <f ca="1">IFERROR(INDEX(Roll!$C:$C, MATCH(T116, Roll!$B:$B, 0)), "")</f>
        <v/>
      </c>
    </row>
    <row r="117" spans="15:22" x14ac:dyDescent="0.3">
      <c r="O117" t="str">
        <f ca="1">IFERROR(INDEX(Roll!$C:$C, MATCH(M117, Roll!$B:$B, 0)), "")</f>
        <v/>
      </c>
      <c r="V117" t="str">
        <f ca="1">IFERROR(INDEX(Roll!$C:$C, MATCH(T117, Roll!$B:$B, 0)), "")</f>
        <v/>
      </c>
    </row>
    <row r="118" spans="15:22" x14ac:dyDescent="0.3">
      <c r="O118" t="str">
        <f ca="1">IFERROR(INDEX(Roll!$C:$C, MATCH(M118, Roll!$B:$B, 0)), "")</f>
        <v/>
      </c>
      <c r="V118" t="str">
        <f ca="1">IFERROR(INDEX(Roll!$C:$C, MATCH(T118, Roll!$B:$B, 0)), "")</f>
        <v/>
      </c>
    </row>
    <row r="119" spans="15:22" x14ac:dyDescent="0.3">
      <c r="O119" t="str">
        <f ca="1">IFERROR(INDEX(Roll!$C:$C, MATCH(M119, Roll!$B:$B, 0)), "")</f>
        <v/>
      </c>
      <c r="V119" t="str">
        <f ca="1">IFERROR(INDEX(Roll!$C:$C, MATCH(T119, Roll!$B:$B, 0)), "")</f>
        <v/>
      </c>
    </row>
    <row r="120" spans="15:22" x14ac:dyDescent="0.3">
      <c r="O120" t="str">
        <f ca="1">IFERROR(INDEX(Roll!$C:$C, MATCH(M120, Roll!$B:$B, 0)), "")</f>
        <v/>
      </c>
      <c r="V120" t="str">
        <f ca="1">IFERROR(INDEX(Roll!$C:$C, MATCH(T120, Roll!$B:$B, 0)), "")</f>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166FD-A151-48B7-9B1A-3D0A22691C5B}">
  <sheetPr codeName="Sheet17"/>
  <dimension ref="A1:M200"/>
  <sheetViews>
    <sheetView workbookViewId="0">
      <selection activeCell="F24" sqref="F24"/>
    </sheetView>
  </sheetViews>
  <sheetFormatPr defaultColWidth="17.6640625" defaultRowHeight="14.4" x14ac:dyDescent="0.3"/>
  <cols>
    <col min="1" max="1" width="14.77734375" style="25" bestFit="1" customWidth="1"/>
    <col min="2" max="2" width="16.77734375" style="12" bestFit="1" customWidth="1"/>
    <col min="3" max="3" width="17.6640625" style="25"/>
    <col min="4" max="4" width="17.6640625" style="12" bestFit="1" customWidth="1"/>
    <col min="5" max="5" width="12.88671875" style="25" bestFit="1" customWidth="1"/>
    <col min="6" max="6" width="16.77734375" style="12" bestFit="1" customWidth="1"/>
    <col min="7" max="7" width="14.33203125" style="25" bestFit="1" customWidth="1"/>
    <col min="8" max="8" width="17.6640625" style="12" bestFit="1" customWidth="1"/>
    <col min="9" max="9" width="10.5546875" style="25" bestFit="1" customWidth="1"/>
    <col min="10" max="10" width="16.77734375" style="12" bestFit="1" customWidth="1"/>
    <col min="11" max="11" width="12.33203125" style="25" bestFit="1" customWidth="1"/>
    <col min="12" max="12" width="17.6640625" style="12"/>
    <col min="13" max="13" width="3" style="1" bestFit="1" customWidth="1"/>
    <col min="14" max="16384" width="17.6640625" style="1"/>
  </cols>
  <sheetData>
    <row r="1" spans="1:13" s="9" customFormat="1" x14ac:dyDescent="0.3">
      <c r="A1" s="8" t="s">
        <v>30</v>
      </c>
      <c r="B1" s="8" t="s">
        <v>34</v>
      </c>
      <c r="C1" s="8" t="s">
        <v>31</v>
      </c>
      <c r="D1" s="9" t="s">
        <v>35</v>
      </c>
      <c r="E1" s="8" t="s">
        <v>30</v>
      </c>
      <c r="F1" s="8" t="s">
        <v>34</v>
      </c>
      <c r="G1" s="8" t="s">
        <v>31</v>
      </c>
      <c r="H1" s="9" t="s">
        <v>35</v>
      </c>
      <c r="I1" s="8" t="s">
        <v>30</v>
      </c>
      <c r="J1" s="8" t="s">
        <v>34</v>
      </c>
      <c r="K1" s="8" t="s">
        <v>31</v>
      </c>
      <c r="L1" s="9" t="s">
        <v>35</v>
      </c>
      <c r="M1" s="9">
        <v>10</v>
      </c>
    </row>
    <row r="2" spans="1:13" x14ac:dyDescent="0.3">
      <c r="A2" s="2"/>
      <c r="B2" s="50"/>
      <c r="E2" s="2"/>
      <c r="F2" s="50"/>
      <c r="I2" s="2"/>
      <c r="J2" s="50"/>
    </row>
    <row r="3" spans="1:13" x14ac:dyDescent="0.3">
      <c r="A3" s="2"/>
      <c r="B3" s="50"/>
      <c r="E3" s="2"/>
      <c r="F3" s="50"/>
      <c r="I3" s="2"/>
      <c r="J3" s="50"/>
    </row>
    <row r="4" spans="1:13" x14ac:dyDescent="0.3">
      <c r="A4" s="2"/>
      <c r="B4" s="50"/>
      <c r="E4" s="2"/>
      <c r="F4" s="50"/>
      <c r="I4" s="2"/>
      <c r="J4" s="50"/>
    </row>
    <row r="5" spans="1:13" x14ac:dyDescent="0.3">
      <c r="A5" s="2"/>
      <c r="B5" s="50"/>
      <c r="E5" s="2"/>
      <c r="F5" s="50"/>
      <c r="I5" s="2"/>
      <c r="J5" s="50"/>
    </row>
    <row r="6" spans="1:13" s="9" customFormat="1" x14ac:dyDescent="0.3">
      <c r="A6" s="51" t="s">
        <v>30</v>
      </c>
      <c r="B6" s="51"/>
      <c r="C6" s="51"/>
      <c r="D6" s="9" t="s">
        <v>35</v>
      </c>
      <c r="E6" s="51" t="s">
        <v>30</v>
      </c>
      <c r="F6" s="51"/>
      <c r="G6" s="51"/>
      <c r="H6" s="9" t="s">
        <v>35</v>
      </c>
      <c r="I6" s="9" t="s">
        <v>30</v>
      </c>
      <c r="J6" s="9" t="s">
        <v>34</v>
      </c>
      <c r="K6" s="9" t="s">
        <v>31</v>
      </c>
      <c r="L6" s="9" t="s">
        <v>35</v>
      </c>
    </row>
    <row r="7" spans="1:13" x14ac:dyDescent="0.3">
      <c r="A7" s="2"/>
      <c r="B7" s="50"/>
      <c r="E7" s="2"/>
      <c r="F7" s="50"/>
    </row>
    <row r="8" spans="1:13" x14ac:dyDescent="0.3">
      <c r="A8" s="2"/>
      <c r="B8" s="50"/>
      <c r="E8" s="2"/>
      <c r="F8" s="50"/>
    </row>
    <row r="9" spans="1:13" x14ac:dyDescent="0.3">
      <c r="A9" s="2"/>
      <c r="B9" s="50"/>
      <c r="E9" s="2"/>
      <c r="F9" s="50"/>
    </row>
    <row r="10" spans="1:13" x14ac:dyDescent="0.3">
      <c r="A10" s="2"/>
      <c r="B10" s="50"/>
      <c r="E10" s="2"/>
      <c r="F10" s="50"/>
    </row>
    <row r="11" spans="1:13" s="9" customFormat="1" x14ac:dyDescent="0.3">
      <c r="A11" s="9" t="s">
        <v>30</v>
      </c>
      <c r="B11" s="9" t="s">
        <v>34</v>
      </c>
      <c r="C11" s="9" t="s">
        <v>31</v>
      </c>
      <c r="D11" s="9" t="s">
        <v>35</v>
      </c>
      <c r="E11" s="9" t="s">
        <v>30</v>
      </c>
      <c r="F11" s="9" t="s">
        <v>34</v>
      </c>
      <c r="G11" s="9" t="s">
        <v>31</v>
      </c>
      <c r="H11" s="9" t="s">
        <v>35</v>
      </c>
      <c r="I11" s="9" t="s">
        <v>30</v>
      </c>
      <c r="J11" s="9" t="s">
        <v>34</v>
      </c>
      <c r="K11" s="9" t="s">
        <v>31</v>
      </c>
      <c r="L11" s="9" t="s">
        <v>35</v>
      </c>
    </row>
    <row r="16" spans="1:13" x14ac:dyDescent="0.3">
      <c r="A16" s="1"/>
      <c r="B16" s="1"/>
      <c r="C16" s="1"/>
      <c r="D16" s="1"/>
      <c r="E16" s="1"/>
      <c r="F16" s="1"/>
      <c r="G16" s="1"/>
      <c r="H16" s="1"/>
      <c r="I16" s="1"/>
      <c r="J16" s="1"/>
      <c r="K16" s="1"/>
      <c r="L16" s="1"/>
    </row>
    <row r="17" spans="1:12" x14ac:dyDescent="0.3">
      <c r="A17" s="1"/>
      <c r="B17" s="1"/>
      <c r="C17" s="1"/>
      <c r="D17" s="1"/>
      <c r="E17" s="1"/>
      <c r="F17" s="1"/>
      <c r="G17" s="1"/>
      <c r="H17" s="1"/>
      <c r="I17" s="1"/>
      <c r="J17" s="1"/>
      <c r="K17" s="1"/>
      <c r="L17" s="1"/>
    </row>
    <row r="18" spans="1:12" x14ac:dyDescent="0.3">
      <c r="A18" s="1"/>
      <c r="B18" s="1"/>
      <c r="C18" s="1"/>
      <c r="D18" s="1"/>
      <c r="E18" s="1"/>
      <c r="F18" s="1"/>
      <c r="G18" s="1"/>
      <c r="H18" s="1"/>
      <c r="I18" s="1"/>
      <c r="J18" s="1"/>
      <c r="K18" s="1"/>
      <c r="L18" s="1"/>
    </row>
    <row r="19" spans="1:12" x14ac:dyDescent="0.3">
      <c r="A19" s="1"/>
      <c r="B19" s="1"/>
      <c r="C19" s="1"/>
      <c r="D19" s="1"/>
      <c r="E19" s="1"/>
      <c r="F19" s="1"/>
      <c r="G19" s="1"/>
      <c r="H19" s="1"/>
      <c r="I19" s="1"/>
      <c r="J19" s="1"/>
      <c r="K19" s="1"/>
      <c r="L19" s="1"/>
    </row>
    <row r="20" spans="1:12" x14ac:dyDescent="0.3">
      <c r="A20" s="1"/>
      <c r="B20" s="1"/>
      <c r="C20" s="1"/>
      <c r="D20" s="1"/>
      <c r="E20" s="1"/>
      <c r="F20" s="1"/>
      <c r="G20" s="1"/>
      <c r="H20" s="1"/>
      <c r="I20" s="1"/>
      <c r="J20" s="1"/>
      <c r="K20" s="1"/>
      <c r="L20" s="1"/>
    </row>
    <row r="21" spans="1:12" x14ac:dyDescent="0.3">
      <c r="A21" s="1"/>
      <c r="B21" s="1"/>
      <c r="C21" s="1"/>
      <c r="D21" s="1"/>
      <c r="E21" s="1"/>
      <c r="F21" s="1"/>
      <c r="G21" s="1"/>
      <c r="H21" s="1"/>
      <c r="I21" s="1"/>
      <c r="J21" s="1"/>
      <c r="K21" s="1"/>
      <c r="L21" s="1"/>
    </row>
    <row r="22" spans="1:12" x14ac:dyDescent="0.3">
      <c r="A22" s="1"/>
      <c r="B22" s="1"/>
      <c r="C22" s="1"/>
      <c r="D22" s="1"/>
      <c r="E22" s="1"/>
      <c r="F22" s="1"/>
      <c r="G22" s="1"/>
      <c r="H22" s="1"/>
      <c r="I22" s="1"/>
      <c r="J22" s="1"/>
      <c r="K22" s="1"/>
      <c r="L22" s="1"/>
    </row>
    <row r="23" spans="1:12" x14ac:dyDescent="0.3">
      <c r="A23" s="1"/>
      <c r="B23" s="1"/>
      <c r="C23" s="1"/>
      <c r="D23" s="1"/>
      <c r="E23" s="1"/>
      <c r="F23" s="1"/>
      <c r="G23" s="1"/>
      <c r="H23" s="1"/>
      <c r="I23" s="1"/>
      <c r="J23" s="1"/>
      <c r="K23" s="1"/>
      <c r="L23" s="1"/>
    </row>
    <row r="24" spans="1:12" x14ac:dyDescent="0.3">
      <c r="A24" s="1"/>
      <c r="B24" s="1"/>
      <c r="C24" s="1"/>
      <c r="D24" s="1"/>
      <c r="E24" s="1"/>
      <c r="F24" s="1"/>
      <c r="G24" s="1"/>
      <c r="H24" s="1"/>
      <c r="I24" s="1"/>
      <c r="J24" s="1"/>
      <c r="K24" s="1"/>
      <c r="L24" s="1"/>
    </row>
    <row r="25" spans="1:12" x14ac:dyDescent="0.3">
      <c r="A25" s="1"/>
      <c r="B25" s="1"/>
      <c r="C25" s="1"/>
      <c r="D25" s="1"/>
      <c r="E25" s="1"/>
      <c r="F25" s="1"/>
      <c r="G25" s="1"/>
      <c r="H25" s="1"/>
      <c r="I25" s="1"/>
      <c r="J25" s="1"/>
      <c r="K25" s="1"/>
      <c r="L25" s="1"/>
    </row>
    <row r="26" spans="1:12" x14ac:dyDescent="0.3">
      <c r="A26" s="1"/>
      <c r="B26" s="1"/>
      <c r="C26" s="1"/>
      <c r="D26" s="1"/>
      <c r="E26" s="1"/>
      <c r="F26" s="1"/>
      <c r="G26" s="1"/>
      <c r="H26" s="1"/>
      <c r="I26" s="1"/>
      <c r="J26" s="1"/>
      <c r="K26" s="1"/>
      <c r="L26" s="1"/>
    </row>
    <row r="27" spans="1:12" x14ac:dyDescent="0.3">
      <c r="A27" s="1"/>
      <c r="B27" s="1"/>
      <c r="C27" s="1"/>
      <c r="D27" s="1"/>
      <c r="E27" s="1"/>
      <c r="F27" s="1"/>
      <c r="G27" s="1"/>
      <c r="H27" s="1"/>
      <c r="I27" s="1"/>
      <c r="J27" s="1"/>
      <c r="K27" s="1"/>
      <c r="L27" s="1"/>
    </row>
    <row r="28" spans="1:12" x14ac:dyDescent="0.3">
      <c r="A28" s="1"/>
      <c r="B28" s="1"/>
      <c r="C28" s="1"/>
      <c r="D28" s="1"/>
      <c r="E28" s="1"/>
      <c r="F28" s="1"/>
      <c r="G28" s="1"/>
      <c r="H28" s="1"/>
      <c r="I28" s="1"/>
      <c r="J28" s="1"/>
      <c r="K28" s="1"/>
      <c r="L28" s="1"/>
    </row>
    <row r="29" spans="1:12" x14ac:dyDescent="0.3">
      <c r="A29" s="1"/>
      <c r="B29" s="1"/>
      <c r="C29" s="1"/>
      <c r="D29" s="1"/>
      <c r="E29" s="1"/>
      <c r="F29" s="1"/>
      <c r="G29" s="1"/>
      <c r="H29" s="1"/>
      <c r="I29" s="1"/>
      <c r="J29" s="1"/>
      <c r="K29" s="1"/>
      <c r="L29" s="1"/>
    </row>
    <row r="30" spans="1:12" x14ac:dyDescent="0.3">
      <c r="A30" s="1"/>
      <c r="B30" s="1"/>
      <c r="C30" s="1"/>
      <c r="D30" s="1"/>
      <c r="E30" s="1"/>
      <c r="F30" s="1"/>
      <c r="G30" s="1"/>
      <c r="H30" s="1"/>
      <c r="I30" s="1"/>
      <c r="J30" s="1"/>
      <c r="K30" s="1"/>
      <c r="L30" s="1"/>
    </row>
    <row r="31" spans="1:12" x14ac:dyDescent="0.3">
      <c r="A31" s="1"/>
      <c r="B31" s="1"/>
      <c r="C31" s="1"/>
      <c r="D31" s="1"/>
      <c r="E31" s="1"/>
      <c r="F31" s="1"/>
      <c r="G31" s="1"/>
      <c r="H31" s="1"/>
      <c r="I31" s="1"/>
      <c r="J31" s="1"/>
      <c r="K31" s="1"/>
      <c r="L31" s="1"/>
    </row>
    <row r="32" spans="1:12" x14ac:dyDescent="0.3">
      <c r="A32" s="1"/>
      <c r="B32" s="1"/>
      <c r="C32" s="1"/>
      <c r="D32" s="1"/>
      <c r="E32" s="1"/>
      <c r="F32" s="1"/>
      <c r="G32" s="1"/>
      <c r="H32" s="1"/>
      <c r="I32" s="1"/>
      <c r="J32" s="1"/>
      <c r="K32" s="1"/>
      <c r="L32" s="1"/>
    </row>
    <row r="33" spans="1:12" x14ac:dyDescent="0.3">
      <c r="A33" s="1"/>
      <c r="B33" s="1"/>
      <c r="C33" s="1"/>
      <c r="D33" s="1"/>
      <c r="E33" s="1"/>
      <c r="F33" s="1"/>
      <c r="G33" s="1"/>
      <c r="H33" s="1"/>
      <c r="I33" s="1"/>
      <c r="J33" s="1"/>
      <c r="K33" s="1"/>
      <c r="L33" s="1"/>
    </row>
    <row r="34" spans="1:12" x14ac:dyDescent="0.3">
      <c r="A34" s="1"/>
      <c r="B34" s="1"/>
      <c r="C34" s="1"/>
      <c r="D34" s="1"/>
      <c r="E34" s="1"/>
      <c r="F34" s="1"/>
      <c r="G34" s="1"/>
      <c r="H34" s="1"/>
      <c r="I34" s="1"/>
      <c r="J34" s="1"/>
      <c r="K34" s="1"/>
      <c r="L34" s="1"/>
    </row>
    <row r="35" spans="1:12" x14ac:dyDescent="0.3">
      <c r="A35" s="1"/>
      <c r="B35" s="1"/>
      <c r="C35" s="1"/>
      <c r="D35" s="1"/>
      <c r="E35" s="1"/>
      <c r="F35" s="1"/>
      <c r="G35" s="1"/>
      <c r="H35" s="1"/>
      <c r="I35" s="1"/>
      <c r="J35" s="1"/>
      <c r="K35" s="1"/>
      <c r="L35" s="1"/>
    </row>
    <row r="36" spans="1:12" x14ac:dyDescent="0.3">
      <c r="A36" s="1"/>
      <c r="B36" s="1"/>
      <c r="C36" s="1"/>
      <c r="D36" s="1"/>
      <c r="E36" s="1"/>
      <c r="F36" s="1"/>
      <c r="G36" s="1"/>
      <c r="H36" s="1"/>
      <c r="I36" s="1"/>
      <c r="J36" s="1"/>
      <c r="K36" s="1"/>
      <c r="L36" s="1"/>
    </row>
    <row r="37" spans="1:12" x14ac:dyDescent="0.3">
      <c r="A37" s="1"/>
      <c r="B37" s="1"/>
      <c r="C37" s="1"/>
      <c r="D37" s="1"/>
      <c r="E37" s="1"/>
      <c r="F37" s="1"/>
      <c r="G37" s="1"/>
      <c r="H37" s="1"/>
      <c r="I37" s="1"/>
      <c r="J37" s="1"/>
      <c r="K37" s="1"/>
      <c r="L37" s="1"/>
    </row>
    <row r="38" spans="1:12" x14ac:dyDescent="0.3">
      <c r="A38" s="1"/>
      <c r="B38" s="1"/>
      <c r="C38" s="1"/>
      <c r="D38" s="1"/>
      <c r="E38" s="1"/>
      <c r="F38" s="1"/>
      <c r="G38" s="1"/>
      <c r="H38" s="1"/>
      <c r="I38" s="1"/>
      <c r="J38" s="1"/>
      <c r="K38" s="1"/>
      <c r="L38" s="1"/>
    </row>
    <row r="39" spans="1:12" x14ac:dyDescent="0.3">
      <c r="A39" s="1"/>
      <c r="B39" s="1"/>
      <c r="C39" s="1"/>
      <c r="D39" s="1"/>
      <c r="E39" s="1"/>
      <c r="F39" s="1"/>
      <c r="G39" s="1"/>
      <c r="H39" s="1"/>
      <c r="I39" s="1"/>
      <c r="J39" s="1"/>
      <c r="K39" s="1"/>
      <c r="L39" s="1"/>
    </row>
    <row r="40" spans="1:12" x14ac:dyDescent="0.3">
      <c r="A40" s="1"/>
      <c r="B40" s="1"/>
      <c r="C40" s="1"/>
      <c r="D40" s="1"/>
      <c r="E40" s="1"/>
      <c r="F40" s="1"/>
      <c r="G40" s="1"/>
      <c r="H40" s="1"/>
      <c r="I40" s="1"/>
      <c r="J40" s="1"/>
      <c r="K40" s="1"/>
      <c r="L40" s="1"/>
    </row>
    <row r="41" spans="1:12" x14ac:dyDescent="0.3">
      <c r="A41" s="1"/>
      <c r="B41" s="1"/>
      <c r="C41" s="1"/>
      <c r="D41" s="1"/>
      <c r="E41" s="1"/>
      <c r="F41" s="1"/>
      <c r="G41" s="1"/>
      <c r="H41" s="1"/>
      <c r="I41" s="1"/>
      <c r="J41" s="1"/>
      <c r="K41" s="1"/>
      <c r="L41" s="1"/>
    </row>
    <row r="42" spans="1:12" x14ac:dyDescent="0.3">
      <c r="A42" s="1"/>
      <c r="B42" s="1"/>
      <c r="C42" s="1"/>
      <c r="D42" s="1"/>
      <c r="E42" s="1"/>
      <c r="F42" s="1"/>
      <c r="G42" s="1"/>
      <c r="H42" s="1"/>
      <c r="I42" s="1"/>
      <c r="J42" s="1"/>
      <c r="K42" s="1"/>
      <c r="L42" s="1"/>
    </row>
    <row r="43" spans="1:12" x14ac:dyDescent="0.3">
      <c r="A43" s="1"/>
      <c r="B43" s="1"/>
      <c r="C43" s="1"/>
      <c r="D43" s="1"/>
      <c r="E43" s="1"/>
      <c r="F43" s="1"/>
      <c r="G43" s="1"/>
      <c r="H43" s="1"/>
      <c r="I43" s="1"/>
      <c r="J43" s="1"/>
      <c r="K43" s="1"/>
      <c r="L43" s="1"/>
    </row>
    <row r="44" spans="1:12" x14ac:dyDescent="0.3">
      <c r="A44" s="1"/>
      <c r="B44" s="1"/>
      <c r="C44" s="1"/>
      <c r="D44" s="1"/>
      <c r="E44" s="1"/>
      <c r="F44" s="1"/>
      <c r="G44" s="1"/>
      <c r="H44" s="1"/>
      <c r="I44" s="1"/>
      <c r="J44" s="1"/>
      <c r="K44" s="1"/>
      <c r="L44" s="1"/>
    </row>
    <row r="45" spans="1:12" x14ac:dyDescent="0.3">
      <c r="A45" s="1"/>
      <c r="B45" s="1"/>
      <c r="C45" s="1"/>
      <c r="D45" s="1"/>
      <c r="E45" s="1"/>
      <c r="F45" s="1"/>
      <c r="G45" s="1"/>
      <c r="H45" s="1"/>
      <c r="I45" s="1"/>
      <c r="J45" s="1"/>
      <c r="K45" s="1"/>
      <c r="L45" s="1"/>
    </row>
    <row r="46" spans="1:12" x14ac:dyDescent="0.3">
      <c r="A46" s="1"/>
      <c r="B46" s="1"/>
      <c r="C46" s="1"/>
      <c r="D46" s="1"/>
      <c r="E46" s="1"/>
      <c r="F46" s="1"/>
      <c r="G46" s="1"/>
      <c r="H46" s="1"/>
      <c r="I46" s="1"/>
      <c r="J46" s="1"/>
      <c r="K46" s="1"/>
      <c r="L46" s="1"/>
    </row>
    <row r="47" spans="1:12" x14ac:dyDescent="0.3">
      <c r="A47" s="1"/>
      <c r="B47" s="1"/>
      <c r="C47" s="1"/>
      <c r="D47" s="1"/>
      <c r="E47" s="1"/>
      <c r="F47" s="1"/>
      <c r="G47" s="1"/>
      <c r="H47" s="1"/>
      <c r="I47" s="1"/>
      <c r="J47" s="1"/>
      <c r="K47" s="1"/>
      <c r="L47" s="1"/>
    </row>
    <row r="48" spans="1:12" x14ac:dyDescent="0.3">
      <c r="A48" s="1"/>
      <c r="B48" s="1"/>
      <c r="C48" s="1"/>
      <c r="D48" s="1"/>
      <c r="E48" s="1"/>
      <c r="F48" s="1"/>
      <c r="G48" s="1"/>
      <c r="H48" s="1"/>
      <c r="I48" s="1"/>
      <c r="J48" s="1"/>
      <c r="K48" s="1"/>
      <c r="L48" s="1"/>
    </row>
    <row r="49" spans="1:12" x14ac:dyDescent="0.3">
      <c r="A49" s="1"/>
      <c r="B49" s="1"/>
      <c r="C49" s="1"/>
      <c r="D49" s="1"/>
      <c r="E49" s="1"/>
      <c r="F49" s="1"/>
      <c r="G49" s="1"/>
      <c r="H49" s="1"/>
      <c r="I49" s="1"/>
      <c r="J49" s="1"/>
      <c r="K49" s="1"/>
      <c r="L49" s="1"/>
    </row>
    <row r="50" spans="1:12" x14ac:dyDescent="0.3">
      <c r="A50" s="1"/>
      <c r="B50" s="1"/>
      <c r="C50" s="1"/>
      <c r="D50" s="1"/>
      <c r="E50" s="1"/>
      <c r="F50" s="1"/>
      <c r="G50" s="1"/>
      <c r="H50" s="1"/>
      <c r="I50" s="1"/>
      <c r="J50" s="1"/>
      <c r="K50" s="1"/>
      <c r="L50" s="1"/>
    </row>
    <row r="51" spans="1:12" x14ac:dyDescent="0.3">
      <c r="A51" s="1"/>
      <c r="B51" s="1"/>
      <c r="C51" s="1"/>
      <c r="D51" s="1"/>
      <c r="E51" s="1"/>
      <c r="F51" s="1"/>
      <c r="G51" s="1"/>
      <c r="H51" s="1"/>
      <c r="I51" s="1"/>
      <c r="J51" s="1"/>
      <c r="K51" s="1"/>
      <c r="L51" s="1"/>
    </row>
    <row r="52" spans="1:12" x14ac:dyDescent="0.3">
      <c r="A52" s="1"/>
      <c r="B52" s="1"/>
      <c r="C52" s="1"/>
      <c r="D52" s="1"/>
      <c r="E52" s="1"/>
      <c r="F52" s="1"/>
      <c r="G52" s="1"/>
      <c r="H52" s="1"/>
      <c r="I52" s="1"/>
      <c r="J52" s="1"/>
      <c r="K52" s="1"/>
      <c r="L52" s="1"/>
    </row>
    <row r="53" spans="1:12" x14ac:dyDescent="0.3">
      <c r="A53" s="1"/>
      <c r="B53" s="1"/>
      <c r="C53" s="1"/>
      <c r="D53" s="1"/>
      <c r="E53" s="1"/>
      <c r="F53" s="1"/>
      <c r="G53" s="1"/>
      <c r="H53" s="1"/>
      <c r="I53" s="1"/>
      <c r="J53" s="1"/>
      <c r="K53" s="1"/>
      <c r="L53" s="1"/>
    </row>
    <row r="54" spans="1:12" x14ac:dyDescent="0.3">
      <c r="A54" s="1"/>
      <c r="B54" s="1"/>
      <c r="C54" s="1"/>
      <c r="D54" s="1"/>
      <c r="E54" s="1"/>
      <c r="F54" s="1"/>
      <c r="G54" s="1"/>
      <c r="H54" s="1"/>
      <c r="I54" s="1"/>
      <c r="J54" s="1"/>
      <c r="K54" s="1"/>
      <c r="L54" s="1"/>
    </row>
    <row r="55" spans="1:12" x14ac:dyDescent="0.3">
      <c r="A55" s="1"/>
      <c r="B55" s="1"/>
      <c r="C55" s="1"/>
      <c r="D55" s="1"/>
      <c r="E55" s="1"/>
      <c r="F55" s="1"/>
      <c r="G55" s="1"/>
      <c r="H55" s="1"/>
      <c r="I55" s="1"/>
      <c r="J55" s="1"/>
      <c r="K55" s="1"/>
      <c r="L55" s="1"/>
    </row>
    <row r="56" spans="1:12" x14ac:dyDescent="0.3">
      <c r="A56" s="1"/>
      <c r="B56" s="1"/>
      <c r="C56" s="1"/>
      <c r="D56" s="1"/>
      <c r="E56" s="1"/>
      <c r="F56" s="1"/>
      <c r="G56" s="1"/>
      <c r="H56" s="1"/>
      <c r="I56" s="1"/>
      <c r="J56" s="1"/>
      <c r="K56" s="1"/>
      <c r="L56" s="1"/>
    </row>
    <row r="57" spans="1:12" x14ac:dyDescent="0.3">
      <c r="A57" s="1"/>
      <c r="B57" s="1"/>
      <c r="C57" s="1"/>
      <c r="D57" s="1"/>
      <c r="E57" s="1"/>
      <c r="F57" s="1"/>
      <c r="G57" s="1"/>
      <c r="H57" s="1"/>
      <c r="I57" s="1"/>
      <c r="J57" s="1"/>
      <c r="K57" s="1"/>
      <c r="L57" s="1"/>
    </row>
    <row r="58" spans="1:12" x14ac:dyDescent="0.3">
      <c r="A58" s="1"/>
      <c r="B58" s="1"/>
      <c r="C58" s="1"/>
      <c r="D58" s="1"/>
      <c r="E58" s="1"/>
      <c r="F58" s="1"/>
      <c r="G58" s="1"/>
      <c r="H58" s="1"/>
      <c r="I58" s="1"/>
      <c r="J58" s="1"/>
      <c r="K58" s="1"/>
      <c r="L58" s="1"/>
    </row>
    <row r="59" spans="1:12" x14ac:dyDescent="0.3">
      <c r="A59" s="1"/>
      <c r="B59" s="1"/>
      <c r="C59" s="1"/>
      <c r="D59" s="1"/>
      <c r="E59" s="1"/>
      <c r="F59" s="1"/>
      <c r="G59" s="1"/>
      <c r="H59" s="1"/>
      <c r="I59" s="1"/>
      <c r="J59" s="1"/>
      <c r="K59" s="1"/>
      <c r="L59" s="1"/>
    </row>
    <row r="60" spans="1:12" x14ac:dyDescent="0.3">
      <c r="A60" s="1"/>
      <c r="B60" s="1"/>
      <c r="C60" s="1"/>
      <c r="D60" s="1"/>
      <c r="E60" s="1"/>
      <c r="F60" s="1"/>
      <c r="G60" s="1"/>
      <c r="H60" s="1"/>
      <c r="I60" s="1"/>
      <c r="J60" s="1"/>
      <c r="K60" s="1"/>
      <c r="L60" s="1"/>
    </row>
    <row r="61" spans="1:12" x14ac:dyDescent="0.3">
      <c r="A61" s="1"/>
      <c r="B61" s="1"/>
      <c r="C61" s="1"/>
      <c r="D61" s="1"/>
      <c r="E61" s="1"/>
      <c r="F61" s="1"/>
      <c r="G61" s="1"/>
      <c r="H61" s="1"/>
      <c r="I61" s="1"/>
      <c r="J61" s="1"/>
      <c r="K61" s="1"/>
      <c r="L61" s="1"/>
    </row>
    <row r="62" spans="1:12" x14ac:dyDescent="0.3">
      <c r="A62" s="1"/>
      <c r="B62" s="1"/>
      <c r="C62" s="1"/>
      <c r="D62" s="1"/>
      <c r="E62" s="1"/>
      <c r="F62" s="1"/>
      <c r="G62" s="1"/>
      <c r="H62" s="1"/>
      <c r="I62" s="1"/>
      <c r="J62" s="1"/>
      <c r="K62" s="1"/>
      <c r="L62" s="1"/>
    </row>
    <row r="63" spans="1:12" x14ac:dyDescent="0.3">
      <c r="A63" s="1"/>
      <c r="B63" s="1"/>
      <c r="C63" s="1"/>
      <c r="D63" s="1"/>
      <c r="E63" s="1"/>
      <c r="F63" s="1"/>
      <c r="G63" s="1"/>
      <c r="H63" s="1"/>
      <c r="I63" s="1"/>
      <c r="J63" s="1"/>
      <c r="K63" s="1"/>
      <c r="L63" s="1"/>
    </row>
    <row r="64" spans="1:12" x14ac:dyDescent="0.3">
      <c r="A64" s="1"/>
      <c r="B64" s="1"/>
      <c r="C64" s="1"/>
      <c r="D64" s="1"/>
      <c r="E64" s="1"/>
      <c r="F64" s="1"/>
      <c r="G64" s="1"/>
      <c r="H64" s="1"/>
      <c r="I64" s="1"/>
      <c r="J64" s="1"/>
      <c r="K64" s="1"/>
      <c r="L64" s="1"/>
    </row>
    <row r="65" spans="1:12" x14ac:dyDescent="0.3">
      <c r="A65" s="1"/>
      <c r="B65" s="1"/>
      <c r="C65" s="1"/>
      <c r="D65" s="1"/>
      <c r="E65" s="1"/>
      <c r="F65" s="1"/>
      <c r="G65" s="1"/>
      <c r="H65" s="1"/>
      <c r="I65" s="1"/>
      <c r="J65" s="1"/>
      <c r="K65" s="1"/>
      <c r="L65" s="1"/>
    </row>
    <row r="66" spans="1:12" x14ac:dyDescent="0.3">
      <c r="A66" s="1"/>
      <c r="B66" s="1"/>
      <c r="C66" s="1"/>
      <c r="D66" s="1"/>
      <c r="E66" s="1"/>
      <c r="F66" s="1"/>
      <c r="G66" s="1"/>
      <c r="H66" s="1"/>
      <c r="I66" s="1"/>
      <c r="J66" s="1"/>
      <c r="K66" s="1"/>
      <c r="L66" s="1"/>
    </row>
    <row r="67" spans="1:12" x14ac:dyDescent="0.3">
      <c r="A67" s="1"/>
      <c r="B67" s="1"/>
      <c r="C67" s="1"/>
      <c r="D67" s="1"/>
      <c r="E67" s="1"/>
      <c r="F67" s="1"/>
      <c r="G67" s="1"/>
      <c r="H67" s="1"/>
      <c r="I67" s="1"/>
      <c r="J67" s="1"/>
      <c r="K67" s="1"/>
      <c r="L67" s="1"/>
    </row>
    <row r="68" spans="1:12" x14ac:dyDescent="0.3">
      <c r="A68" s="1"/>
      <c r="B68" s="1"/>
      <c r="C68" s="1"/>
      <c r="D68" s="1"/>
      <c r="E68" s="1"/>
      <c r="F68" s="1"/>
      <c r="G68" s="1"/>
      <c r="H68" s="1"/>
      <c r="I68" s="1"/>
      <c r="J68" s="1"/>
      <c r="K68" s="1"/>
      <c r="L68" s="1"/>
    </row>
    <row r="69" spans="1:12" x14ac:dyDescent="0.3">
      <c r="A69" s="1"/>
      <c r="B69" s="1"/>
      <c r="C69" s="1"/>
      <c r="D69" s="1"/>
      <c r="E69" s="1"/>
      <c r="F69" s="1"/>
      <c r="G69" s="1"/>
      <c r="H69" s="1"/>
      <c r="I69" s="1"/>
      <c r="J69" s="1"/>
      <c r="K69" s="1"/>
      <c r="L69" s="1"/>
    </row>
    <row r="70" spans="1:12" x14ac:dyDescent="0.3">
      <c r="A70" s="1"/>
      <c r="B70" s="1"/>
      <c r="C70" s="1"/>
      <c r="D70" s="1"/>
      <c r="E70" s="1"/>
      <c r="F70" s="1"/>
      <c r="G70" s="1"/>
      <c r="H70" s="1"/>
      <c r="I70" s="1"/>
      <c r="J70" s="1"/>
      <c r="K70" s="1"/>
      <c r="L70" s="1"/>
    </row>
    <row r="71" spans="1:12" x14ac:dyDescent="0.3">
      <c r="A71" s="1"/>
      <c r="B71" s="1"/>
      <c r="C71" s="1"/>
      <c r="D71" s="1"/>
      <c r="E71" s="1"/>
      <c r="F71" s="1"/>
      <c r="G71" s="1"/>
      <c r="H71" s="1"/>
      <c r="I71" s="1"/>
      <c r="J71" s="1"/>
      <c r="K71" s="1"/>
      <c r="L71" s="1"/>
    </row>
    <row r="72" spans="1:12" x14ac:dyDescent="0.3">
      <c r="A72" s="1"/>
      <c r="B72" s="1"/>
      <c r="C72" s="1"/>
      <c r="D72" s="1"/>
      <c r="E72" s="1"/>
      <c r="F72" s="1"/>
      <c r="G72" s="1"/>
      <c r="H72" s="1"/>
      <c r="I72" s="1"/>
      <c r="J72" s="1"/>
      <c r="K72" s="1"/>
      <c r="L72" s="1"/>
    </row>
    <row r="73" spans="1:12" x14ac:dyDescent="0.3">
      <c r="A73" s="1"/>
      <c r="B73" s="1"/>
      <c r="C73" s="1"/>
      <c r="D73" s="1"/>
      <c r="E73" s="1"/>
      <c r="F73" s="1"/>
      <c r="G73" s="1"/>
      <c r="H73" s="1"/>
      <c r="I73" s="1"/>
      <c r="J73" s="1"/>
      <c r="K73" s="1"/>
      <c r="L73" s="1"/>
    </row>
    <row r="74" spans="1:12" x14ac:dyDescent="0.3">
      <c r="A74" s="1"/>
      <c r="B74" s="1"/>
      <c r="C74" s="1"/>
      <c r="D74" s="1"/>
      <c r="E74" s="1"/>
      <c r="F74" s="1"/>
      <c r="G74" s="1"/>
      <c r="H74" s="1"/>
      <c r="I74" s="1"/>
      <c r="J74" s="1"/>
      <c r="K74" s="1"/>
      <c r="L74" s="1"/>
    </row>
    <row r="75" spans="1:12" x14ac:dyDescent="0.3">
      <c r="A75" s="1"/>
      <c r="B75" s="1"/>
      <c r="C75" s="1"/>
      <c r="D75" s="1"/>
      <c r="E75" s="1"/>
      <c r="F75" s="1"/>
      <c r="G75" s="1"/>
      <c r="H75" s="1"/>
      <c r="I75" s="1"/>
      <c r="J75" s="1"/>
      <c r="K75" s="1"/>
      <c r="L75" s="1"/>
    </row>
    <row r="76" spans="1:12" x14ac:dyDescent="0.3">
      <c r="A76" s="1"/>
      <c r="B76" s="1"/>
      <c r="C76" s="1"/>
      <c r="D76" s="1"/>
      <c r="E76" s="1"/>
      <c r="F76" s="1"/>
      <c r="G76" s="1"/>
      <c r="H76" s="1"/>
      <c r="I76" s="1"/>
      <c r="J76" s="1"/>
      <c r="K76" s="1"/>
      <c r="L76" s="1"/>
    </row>
    <row r="77" spans="1:12" x14ac:dyDescent="0.3">
      <c r="A77" s="1"/>
      <c r="B77" s="1"/>
      <c r="C77" s="1"/>
      <c r="D77" s="1"/>
      <c r="E77" s="1"/>
      <c r="F77" s="1"/>
      <c r="G77" s="1"/>
      <c r="H77" s="1"/>
      <c r="I77" s="1"/>
      <c r="J77" s="1"/>
      <c r="K77" s="1"/>
      <c r="L77" s="1"/>
    </row>
    <row r="78" spans="1:12" x14ac:dyDescent="0.3">
      <c r="A78" s="1"/>
      <c r="B78" s="1"/>
      <c r="C78" s="1"/>
      <c r="D78" s="1"/>
      <c r="E78" s="1"/>
      <c r="F78" s="1"/>
      <c r="G78" s="1"/>
      <c r="H78" s="1"/>
      <c r="I78" s="1"/>
      <c r="J78" s="1"/>
      <c r="K78" s="1"/>
      <c r="L78" s="1"/>
    </row>
    <row r="79" spans="1:12" x14ac:dyDescent="0.3">
      <c r="A79" s="1"/>
      <c r="B79" s="1"/>
      <c r="C79" s="1"/>
      <c r="D79" s="1"/>
      <c r="E79" s="1"/>
      <c r="F79" s="1"/>
      <c r="G79" s="1"/>
      <c r="H79" s="1"/>
      <c r="I79" s="1"/>
      <c r="J79" s="1"/>
      <c r="K79" s="1"/>
      <c r="L79" s="1"/>
    </row>
    <row r="80" spans="1:12" x14ac:dyDescent="0.3">
      <c r="A80" s="1"/>
      <c r="B80" s="1"/>
      <c r="C80" s="1"/>
      <c r="D80" s="1"/>
      <c r="E80" s="1"/>
      <c r="F80" s="1"/>
      <c r="G80" s="1"/>
      <c r="H80" s="1"/>
      <c r="I80" s="1"/>
      <c r="J80" s="1"/>
      <c r="K80" s="1"/>
      <c r="L80" s="1"/>
    </row>
    <row r="81" spans="1:12" x14ac:dyDescent="0.3">
      <c r="A81" s="1"/>
      <c r="B81" s="1"/>
      <c r="C81" s="1"/>
      <c r="D81" s="1"/>
      <c r="E81" s="1"/>
      <c r="F81" s="1"/>
      <c r="G81" s="1"/>
      <c r="H81" s="1"/>
      <c r="I81" s="1"/>
      <c r="J81" s="1"/>
      <c r="K81" s="1"/>
      <c r="L81" s="1"/>
    </row>
    <row r="82" spans="1:12" x14ac:dyDescent="0.3">
      <c r="A82" s="1"/>
      <c r="B82" s="1"/>
      <c r="C82" s="1"/>
      <c r="D82" s="1"/>
      <c r="E82" s="1"/>
      <c r="F82" s="1"/>
      <c r="G82" s="1"/>
      <c r="H82" s="1"/>
      <c r="I82" s="1"/>
      <c r="J82" s="1"/>
      <c r="K82" s="1"/>
      <c r="L82" s="1"/>
    </row>
    <row r="83" spans="1:12" x14ac:dyDescent="0.3">
      <c r="A83" s="1"/>
      <c r="B83" s="1"/>
      <c r="C83" s="1"/>
      <c r="D83" s="1"/>
      <c r="E83" s="1"/>
      <c r="F83" s="1"/>
      <c r="G83" s="1"/>
      <c r="H83" s="1"/>
      <c r="I83" s="1"/>
      <c r="J83" s="1"/>
      <c r="K83" s="1"/>
      <c r="L83" s="1"/>
    </row>
    <row r="84" spans="1:12" x14ac:dyDescent="0.3">
      <c r="A84" s="1"/>
      <c r="B84" s="1"/>
      <c r="C84" s="1"/>
      <c r="D84" s="1"/>
      <c r="E84" s="1"/>
      <c r="F84" s="1"/>
      <c r="G84" s="1"/>
      <c r="H84" s="1"/>
      <c r="I84" s="1"/>
      <c r="J84" s="1"/>
      <c r="K84" s="1"/>
      <c r="L84" s="1"/>
    </row>
    <row r="85" spans="1:12" x14ac:dyDescent="0.3">
      <c r="A85" s="1"/>
      <c r="B85" s="1"/>
      <c r="C85" s="1"/>
      <c r="D85" s="1"/>
      <c r="E85" s="1"/>
      <c r="F85" s="1"/>
      <c r="G85" s="1"/>
      <c r="H85" s="1"/>
      <c r="I85" s="1"/>
      <c r="J85" s="1"/>
      <c r="K85" s="1"/>
      <c r="L85" s="1"/>
    </row>
    <row r="86" spans="1:12" x14ac:dyDescent="0.3">
      <c r="A86" s="1"/>
      <c r="B86" s="1"/>
      <c r="C86" s="1"/>
      <c r="D86" s="1"/>
      <c r="E86" s="1"/>
      <c r="F86" s="1"/>
      <c r="G86" s="1"/>
      <c r="H86" s="1"/>
      <c r="I86" s="1"/>
      <c r="J86" s="1"/>
      <c r="K86" s="1"/>
      <c r="L86" s="1"/>
    </row>
    <row r="87" spans="1:12" x14ac:dyDescent="0.3">
      <c r="A87" s="1"/>
      <c r="B87" s="1"/>
      <c r="C87" s="1"/>
      <c r="D87" s="1"/>
      <c r="E87" s="1"/>
      <c r="F87" s="1"/>
      <c r="G87" s="1"/>
      <c r="H87" s="1"/>
      <c r="I87" s="1"/>
      <c r="J87" s="1"/>
      <c r="K87" s="1"/>
      <c r="L87" s="1"/>
    </row>
    <row r="88" spans="1:12" x14ac:dyDescent="0.3">
      <c r="A88" s="1"/>
      <c r="B88" s="1"/>
      <c r="C88" s="1"/>
      <c r="D88" s="1"/>
      <c r="E88" s="1"/>
      <c r="F88" s="1"/>
      <c r="G88" s="1"/>
      <c r="H88" s="1"/>
      <c r="I88" s="1"/>
      <c r="J88" s="1"/>
      <c r="K88" s="1"/>
      <c r="L88" s="1"/>
    </row>
    <row r="89" spans="1:12" x14ac:dyDescent="0.3">
      <c r="A89" s="1"/>
      <c r="B89" s="1"/>
      <c r="C89" s="1"/>
      <c r="D89" s="1"/>
      <c r="E89" s="1"/>
      <c r="F89" s="1"/>
      <c r="G89" s="1"/>
      <c r="H89" s="1"/>
      <c r="I89" s="1"/>
      <c r="J89" s="1"/>
      <c r="K89" s="1"/>
      <c r="L89" s="1"/>
    </row>
    <row r="90" spans="1:12" x14ac:dyDescent="0.3">
      <c r="A90" s="1"/>
      <c r="B90" s="1"/>
      <c r="C90" s="1"/>
      <c r="D90" s="1"/>
      <c r="E90" s="1"/>
      <c r="F90" s="1"/>
      <c r="G90" s="1"/>
      <c r="H90" s="1"/>
      <c r="I90" s="1"/>
      <c r="J90" s="1"/>
      <c r="K90" s="1"/>
      <c r="L90" s="1"/>
    </row>
    <row r="91" spans="1:12" x14ac:dyDescent="0.3">
      <c r="A91" s="1"/>
      <c r="B91" s="1"/>
      <c r="C91" s="1"/>
      <c r="D91" s="1"/>
      <c r="E91" s="1"/>
      <c r="F91" s="1"/>
      <c r="G91" s="1"/>
      <c r="H91" s="1"/>
      <c r="I91" s="1"/>
      <c r="J91" s="1"/>
      <c r="K91" s="1"/>
      <c r="L91" s="1"/>
    </row>
    <row r="92" spans="1:12" x14ac:dyDescent="0.3">
      <c r="A92" s="1"/>
      <c r="B92" s="1"/>
      <c r="C92" s="1"/>
      <c r="D92" s="1"/>
      <c r="E92" s="1"/>
      <c r="F92" s="1"/>
      <c r="G92" s="1"/>
      <c r="H92" s="1"/>
      <c r="I92" s="1"/>
      <c r="J92" s="1"/>
      <c r="K92" s="1"/>
      <c r="L92" s="1"/>
    </row>
    <row r="93" spans="1:12" x14ac:dyDescent="0.3">
      <c r="A93" s="1"/>
      <c r="B93" s="1"/>
      <c r="C93" s="1"/>
      <c r="D93" s="1"/>
      <c r="E93" s="1"/>
      <c r="F93" s="1"/>
      <c r="G93" s="1"/>
      <c r="H93" s="1"/>
      <c r="I93" s="1"/>
      <c r="J93" s="1"/>
      <c r="K93" s="1"/>
      <c r="L93" s="1"/>
    </row>
    <row r="94" spans="1:12" x14ac:dyDescent="0.3">
      <c r="A94" s="1"/>
      <c r="B94" s="1"/>
      <c r="C94" s="1"/>
      <c r="D94" s="1"/>
      <c r="E94" s="1"/>
      <c r="F94" s="1"/>
      <c r="G94" s="1"/>
      <c r="H94" s="1"/>
      <c r="I94" s="1"/>
      <c r="J94" s="1"/>
      <c r="K94" s="1"/>
      <c r="L94" s="1"/>
    </row>
    <row r="95" spans="1:12" x14ac:dyDescent="0.3">
      <c r="A95" s="1"/>
      <c r="B95" s="1"/>
      <c r="C95" s="1"/>
      <c r="D95" s="1"/>
      <c r="E95" s="1"/>
      <c r="F95" s="1"/>
      <c r="G95" s="1"/>
      <c r="H95" s="1"/>
      <c r="I95" s="1"/>
      <c r="J95" s="1"/>
      <c r="K95" s="1"/>
      <c r="L95" s="1"/>
    </row>
    <row r="96" spans="1:12" x14ac:dyDescent="0.3">
      <c r="A96" s="1"/>
      <c r="B96" s="1"/>
      <c r="C96" s="1"/>
      <c r="D96" s="1"/>
      <c r="E96" s="1"/>
      <c r="F96" s="1"/>
      <c r="G96" s="1"/>
      <c r="H96" s="1"/>
      <c r="I96" s="1"/>
      <c r="J96" s="1"/>
      <c r="K96" s="1"/>
      <c r="L96" s="1"/>
    </row>
    <row r="97" spans="1:12" x14ac:dyDescent="0.3">
      <c r="A97" s="1"/>
      <c r="B97" s="1"/>
      <c r="C97" s="1"/>
      <c r="D97" s="1"/>
      <c r="E97" s="1"/>
      <c r="F97" s="1"/>
      <c r="G97" s="1"/>
      <c r="H97" s="1"/>
      <c r="I97" s="1"/>
      <c r="J97" s="1"/>
      <c r="K97" s="1"/>
      <c r="L97" s="1"/>
    </row>
    <row r="98" spans="1:12" x14ac:dyDescent="0.3">
      <c r="A98" s="1"/>
      <c r="B98" s="1"/>
      <c r="C98" s="1"/>
      <c r="D98" s="1"/>
      <c r="E98" s="1"/>
      <c r="F98" s="1"/>
      <c r="G98" s="1"/>
      <c r="H98" s="1"/>
      <c r="I98" s="1"/>
      <c r="J98" s="1"/>
      <c r="K98" s="1"/>
      <c r="L98" s="1"/>
    </row>
    <row r="99" spans="1:12" x14ac:dyDescent="0.3">
      <c r="A99" s="1"/>
      <c r="B99" s="1"/>
      <c r="C99" s="1"/>
      <c r="D99" s="1"/>
      <c r="E99" s="1"/>
      <c r="F99" s="1"/>
      <c r="G99" s="1"/>
      <c r="H99" s="1"/>
      <c r="I99" s="1"/>
      <c r="J99" s="1"/>
      <c r="K99" s="1"/>
      <c r="L99" s="1"/>
    </row>
    <row r="100" spans="1:12" x14ac:dyDescent="0.3">
      <c r="A100" s="1"/>
      <c r="B100" s="1"/>
      <c r="C100" s="1"/>
      <c r="D100" s="1"/>
      <c r="E100" s="1"/>
      <c r="F100" s="1"/>
      <c r="G100" s="1"/>
      <c r="H100" s="1"/>
      <c r="I100" s="1"/>
      <c r="J100" s="1"/>
      <c r="K100" s="1"/>
      <c r="L100" s="1"/>
    </row>
    <row r="101" spans="1:12" x14ac:dyDescent="0.3">
      <c r="A101" s="1"/>
      <c r="B101" s="1"/>
      <c r="C101" s="1"/>
      <c r="D101" s="1"/>
      <c r="E101" s="1"/>
      <c r="F101" s="1"/>
      <c r="G101" s="1"/>
      <c r="H101" s="1"/>
      <c r="I101" s="1"/>
      <c r="J101" s="1"/>
      <c r="K101" s="1"/>
      <c r="L101" s="1"/>
    </row>
    <row r="102" spans="1:12" x14ac:dyDescent="0.3">
      <c r="A102" s="1"/>
      <c r="B102" s="1"/>
      <c r="C102" s="1"/>
      <c r="D102" s="1"/>
      <c r="E102" s="1"/>
      <c r="F102" s="1"/>
      <c r="G102" s="1"/>
      <c r="H102" s="1"/>
      <c r="I102" s="1"/>
      <c r="J102" s="1"/>
      <c r="K102" s="1"/>
      <c r="L102" s="1"/>
    </row>
    <row r="103" spans="1:12" x14ac:dyDescent="0.3">
      <c r="A103" s="1"/>
      <c r="B103" s="1"/>
      <c r="C103" s="1"/>
      <c r="D103" s="1"/>
      <c r="E103" s="1"/>
      <c r="F103" s="1"/>
      <c r="G103" s="1"/>
      <c r="H103" s="1"/>
      <c r="I103" s="1"/>
      <c r="J103" s="1"/>
      <c r="K103" s="1"/>
      <c r="L103" s="1"/>
    </row>
    <row r="104" spans="1:12" x14ac:dyDescent="0.3">
      <c r="A104" s="1"/>
      <c r="B104" s="1"/>
      <c r="C104" s="1"/>
      <c r="D104" s="1"/>
      <c r="E104" s="1"/>
      <c r="F104" s="1"/>
      <c r="G104" s="1"/>
      <c r="H104" s="1"/>
      <c r="I104" s="1"/>
      <c r="J104" s="1"/>
      <c r="K104" s="1"/>
      <c r="L104" s="1"/>
    </row>
    <row r="105" spans="1:12" x14ac:dyDescent="0.3">
      <c r="A105" s="1"/>
      <c r="B105" s="1"/>
      <c r="C105" s="1"/>
      <c r="D105" s="1"/>
      <c r="E105" s="1"/>
      <c r="F105" s="1"/>
      <c r="G105" s="1"/>
      <c r="H105" s="1"/>
      <c r="I105" s="1"/>
      <c r="J105" s="1"/>
      <c r="K105" s="1"/>
      <c r="L105" s="1"/>
    </row>
    <row r="106" spans="1:12" x14ac:dyDescent="0.3">
      <c r="A106" s="1"/>
      <c r="B106" s="1"/>
      <c r="C106" s="1"/>
      <c r="D106" s="1"/>
      <c r="E106" s="1"/>
      <c r="F106" s="1"/>
      <c r="G106" s="1"/>
      <c r="H106" s="1"/>
      <c r="I106" s="1"/>
      <c r="J106" s="1"/>
      <c r="K106" s="1"/>
      <c r="L106" s="1"/>
    </row>
    <row r="107" spans="1:12" x14ac:dyDescent="0.3">
      <c r="A107" s="1"/>
      <c r="B107" s="1"/>
      <c r="C107" s="1"/>
      <c r="D107" s="1"/>
      <c r="E107" s="1"/>
      <c r="F107" s="1"/>
      <c r="G107" s="1"/>
      <c r="H107" s="1"/>
      <c r="I107" s="1"/>
      <c r="J107" s="1"/>
      <c r="K107" s="1"/>
      <c r="L107" s="1"/>
    </row>
    <row r="108" spans="1:12" x14ac:dyDescent="0.3">
      <c r="A108" s="1"/>
      <c r="B108" s="1"/>
      <c r="C108" s="1"/>
      <c r="D108" s="1"/>
      <c r="E108" s="1"/>
      <c r="F108" s="1"/>
      <c r="G108" s="1"/>
      <c r="H108" s="1"/>
      <c r="I108" s="1"/>
      <c r="J108" s="1"/>
      <c r="K108" s="1"/>
      <c r="L108" s="1"/>
    </row>
    <row r="109" spans="1:12" x14ac:dyDescent="0.3">
      <c r="A109" s="1"/>
      <c r="B109" s="1"/>
      <c r="C109" s="1"/>
      <c r="D109" s="1"/>
      <c r="E109" s="1"/>
      <c r="F109" s="1"/>
      <c r="G109" s="1"/>
      <c r="H109" s="1"/>
      <c r="I109" s="1"/>
      <c r="J109" s="1"/>
      <c r="K109" s="1"/>
      <c r="L109" s="1"/>
    </row>
    <row r="110" spans="1:12" x14ac:dyDescent="0.3">
      <c r="A110" s="1"/>
      <c r="B110" s="1"/>
      <c r="C110" s="1"/>
      <c r="D110" s="1"/>
      <c r="E110" s="1"/>
      <c r="F110" s="1"/>
      <c r="G110" s="1"/>
      <c r="H110" s="1"/>
      <c r="I110" s="1"/>
      <c r="J110" s="1"/>
      <c r="K110" s="1"/>
      <c r="L110" s="1"/>
    </row>
    <row r="111" spans="1:12" x14ac:dyDescent="0.3">
      <c r="A111" s="1"/>
      <c r="B111" s="1"/>
      <c r="C111" s="1"/>
      <c r="D111" s="1"/>
      <c r="E111" s="1"/>
      <c r="F111" s="1"/>
      <c r="G111" s="1"/>
      <c r="H111" s="1"/>
      <c r="I111" s="1"/>
      <c r="J111" s="1"/>
      <c r="K111" s="1"/>
      <c r="L111" s="1"/>
    </row>
    <row r="112" spans="1:12" x14ac:dyDescent="0.3">
      <c r="A112" s="1"/>
      <c r="B112" s="1"/>
      <c r="C112" s="1"/>
      <c r="D112" s="1"/>
      <c r="E112" s="1"/>
      <c r="F112" s="1"/>
      <c r="G112" s="1"/>
      <c r="H112" s="1"/>
      <c r="I112" s="1"/>
      <c r="J112" s="1"/>
      <c r="K112" s="1"/>
      <c r="L112" s="1"/>
    </row>
    <row r="113" spans="1:12" x14ac:dyDescent="0.3">
      <c r="A113" s="1"/>
      <c r="B113" s="1"/>
      <c r="C113" s="1"/>
      <c r="D113" s="1"/>
      <c r="E113" s="1"/>
      <c r="F113" s="1"/>
      <c r="G113" s="1"/>
      <c r="H113" s="1"/>
      <c r="I113" s="1"/>
      <c r="J113" s="1"/>
      <c r="K113" s="1"/>
      <c r="L113" s="1"/>
    </row>
    <row r="114" spans="1:12" x14ac:dyDescent="0.3">
      <c r="A114" s="1"/>
      <c r="B114" s="1"/>
      <c r="C114" s="1"/>
      <c r="D114" s="1"/>
      <c r="E114" s="1"/>
      <c r="F114" s="1"/>
      <c r="G114" s="1"/>
      <c r="H114" s="1"/>
      <c r="I114" s="1"/>
      <c r="J114" s="1"/>
      <c r="K114" s="1"/>
      <c r="L114" s="1"/>
    </row>
    <row r="115" spans="1:12" x14ac:dyDescent="0.3">
      <c r="A115" s="1"/>
      <c r="B115" s="1"/>
      <c r="C115" s="1"/>
      <c r="D115" s="1"/>
      <c r="E115" s="1"/>
      <c r="F115" s="1"/>
      <c r="G115" s="1"/>
      <c r="H115" s="1"/>
      <c r="I115" s="1"/>
      <c r="J115" s="1"/>
      <c r="K115" s="1"/>
      <c r="L115" s="1"/>
    </row>
    <row r="116" spans="1:12" x14ac:dyDescent="0.3">
      <c r="A116" s="1"/>
      <c r="B116" s="1"/>
      <c r="C116" s="1"/>
      <c r="D116" s="1"/>
      <c r="E116" s="1"/>
      <c r="F116" s="1"/>
      <c r="G116" s="1"/>
      <c r="H116" s="1"/>
      <c r="I116" s="1"/>
      <c r="J116" s="1"/>
      <c r="K116" s="1"/>
      <c r="L116" s="1"/>
    </row>
    <row r="117" spans="1:12" x14ac:dyDescent="0.3">
      <c r="A117" s="1"/>
      <c r="B117" s="1"/>
      <c r="C117" s="1"/>
      <c r="D117" s="1"/>
      <c r="E117" s="1"/>
      <c r="F117" s="1"/>
      <c r="G117" s="1"/>
      <c r="H117" s="1"/>
      <c r="I117" s="1"/>
      <c r="J117" s="1"/>
      <c r="K117" s="1"/>
      <c r="L117" s="1"/>
    </row>
    <row r="118" spans="1:12" x14ac:dyDescent="0.3">
      <c r="A118" s="1"/>
      <c r="B118" s="1"/>
      <c r="C118" s="1"/>
      <c r="D118" s="1"/>
      <c r="E118" s="1"/>
      <c r="F118" s="1"/>
      <c r="G118" s="1"/>
      <c r="H118" s="1"/>
      <c r="I118" s="1"/>
      <c r="J118" s="1"/>
      <c r="K118" s="1"/>
      <c r="L118" s="1"/>
    </row>
    <row r="119" spans="1:12" x14ac:dyDescent="0.3">
      <c r="A119" s="1"/>
      <c r="B119" s="1"/>
      <c r="C119" s="1"/>
      <c r="D119" s="1"/>
      <c r="E119" s="1"/>
      <c r="F119" s="1"/>
      <c r="G119" s="1"/>
      <c r="H119" s="1"/>
      <c r="I119" s="1"/>
      <c r="J119" s="1"/>
      <c r="K119" s="1"/>
      <c r="L119" s="1"/>
    </row>
    <row r="120" spans="1:12" x14ac:dyDescent="0.3">
      <c r="A120" s="1"/>
      <c r="B120" s="1"/>
      <c r="C120" s="1"/>
      <c r="D120" s="1"/>
      <c r="E120" s="1"/>
      <c r="F120" s="1"/>
      <c r="G120" s="1"/>
      <c r="H120" s="1"/>
      <c r="I120" s="1"/>
      <c r="J120" s="1"/>
      <c r="K120" s="1"/>
      <c r="L120" s="1"/>
    </row>
    <row r="121" spans="1:12" x14ac:dyDescent="0.3">
      <c r="A121" s="1"/>
      <c r="B121" s="1"/>
      <c r="C121" s="1"/>
      <c r="D121" s="1"/>
      <c r="E121" s="1"/>
      <c r="F121" s="1"/>
      <c r="G121" s="1"/>
      <c r="H121" s="1"/>
      <c r="I121" s="1"/>
      <c r="J121" s="1"/>
      <c r="K121" s="1"/>
      <c r="L121" s="1"/>
    </row>
    <row r="122" spans="1:12" x14ac:dyDescent="0.3">
      <c r="A122" s="1"/>
      <c r="B122" s="1"/>
      <c r="C122" s="1"/>
      <c r="D122" s="1"/>
      <c r="E122" s="1"/>
      <c r="F122" s="1"/>
      <c r="G122" s="1"/>
      <c r="H122" s="1"/>
      <c r="I122" s="1"/>
      <c r="J122" s="1"/>
      <c r="K122" s="1"/>
      <c r="L122" s="1"/>
    </row>
    <row r="123" spans="1:12" x14ac:dyDescent="0.3">
      <c r="A123" s="1"/>
      <c r="B123" s="1"/>
      <c r="C123" s="1"/>
      <c r="D123" s="1"/>
      <c r="E123" s="1"/>
      <c r="F123" s="1"/>
      <c r="G123" s="1"/>
      <c r="H123" s="1"/>
      <c r="I123" s="1"/>
      <c r="J123" s="1"/>
      <c r="K123" s="1"/>
      <c r="L123" s="1"/>
    </row>
    <row r="124" spans="1:12" x14ac:dyDescent="0.3">
      <c r="A124" s="1"/>
      <c r="B124" s="1"/>
      <c r="C124" s="1"/>
      <c r="D124" s="1"/>
      <c r="E124" s="1"/>
      <c r="F124" s="1"/>
      <c r="G124" s="1"/>
      <c r="H124" s="1"/>
      <c r="I124" s="1"/>
      <c r="J124" s="1"/>
      <c r="K124" s="1"/>
      <c r="L124" s="1"/>
    </row>
    <row r="125" spans="1:12" x14ac:dyDescent="0.3">
      <c r="A125" s="1"/>
      <c r="B125" s="1"/>
      <c r="C125" s="1"/>
      <c r="D125" s="1"/>
      <c r="E125" s="1"/>
      <c r="F125" s="1"/>
      <c r="G125" s="1"/>
      <c r="H125" s="1"/>
      <c r="I125" s="1"/>
      <c r="J125" s="1"/>
      <c r="K125" s="1"/>
      <c r="L125" s="1"/>
    </row>
    <row r="126" spans="1:12" x14ac:dyDescent="0.3">
      <c r="A126" s="1"/>
      <c r="B126" s="1"/>
      <c r="C126" s="1"/>
      <c r="D126" s="1"/>
      <c r="E126" s="1"/>
      <c r="F126" s="1"/>
      <c r="G126" s="1"/>
      <c r="H126" s="1"/>
      <c r="I126" s="1"/>
      <c r="J126" s="1"/>
      <c r="K126" s="1"/>
      <c r="L126" s="1"/>
    </row>
    <row r="127" spans="1:12" x14ac:dyDescent="0.3">
      <c r="A127" s="1"/>
      <c r="B127" s="1"/>
      <c r="C127" s="1"/>
      <c r="D127" s="1"/>
      <c r="E127" s="1"/>
      <c r="F127" s="1"/>
      <c r="G127" s="1"/>
      <c r="H127" s="1"/>
      <c r="I127" s="1"/>
      <c r="J127" s="1"/>
      <c r="K127" s="1"/>
      <c r="L127" s="1"/>
    </row>
    <row r="128" spans="1:12" x14ac:dyDescent="0.3">
      <c r="A128" s="1"/>
      <c r="B128" s="1"/>
      <c r="C128" s="1"/>
      <c r="D128" s="1"/>
      <c r="E128" s="1"/>
      <c r="F128" s="1"/>
      <c r="G128" s="1"/>
      <c r="H128" s="1"/>
      <c r="I128" s="1"/>
      <c r="J128" s="1"/>
      <c r="K128" s="1"/>
      <c r="L128" s="1"/>
    </row>
    <row r="129" spans="1:12" x14ac:dyDescent="0.3">
      <c r="A129" s="1"/>
      <c r="B129" s="1"/>
      <c r="C129" s="1"/>
      <c r="D129" s="1"/>
      <c r="E129" s="1"/>
      <c r="F129" s="1"/>
      <c r="G129" s="1"/>
      <c r="H129" s="1"/>
      <c r="I129" s="1"/>
      <c r="J129" s="1"/>
      <c r="K129" s="1"/>
      <c r="L129" s="1"/>
    </row>
    <row r="130" spans="1:12" x14ac:dyDescent="0.3">
      <c r="A130" s="1"/>
      <c r="B130" s="1"/>
      <c r="C130" s="1"/>
      <c r="D130" s="1"/>
      <c r="E130" s="1"/>
      <c r="F130" s="1"/>
      <c r="G130" s="1"/>
      <c r="H130" s="1"/>
      <c r="I130" s="1"/>
      <c r="J130" s="1"/>
      <c r="K130" s="1"/>
      <c r="L130" s="1"/>
    </row>
    <row r="131" spans="1:12" x14ac:dyDescent="0.3">
      <c r="A131" s="1"/>
      <c r="B131" s="1"/>
      <c r="C131" s="1"/>
      <c r="D131" s="1"/>
      <c r="E131" s="1"/>
      <c r="F131" s="1"/>
      <c r="G131" s="1"/>
      <c r="H131" s="1"/>
      <c r="I131" s="1"/>
      <c r="J131" s="1"/>
      <c r="K131" s="1"/>
      <c r="L131" s="1"/>
    </row>
    <row r="132" spans="1:12" x14ac:dyDescent="0.3">
      <c r="A132" s="1"/>
      <c r="B132" s="1"/>
      <c r="C132" s="1"/>
      <c r="D132" s="1"/>
      <c r="E132" s="1"/>
      <c r="F132" s="1"/>
      <c r="G132" s="1"/>
      <c r="H132" s="1"/>
      <c r="I132" s="1"/>
      <c r="J132" s="1"/>
      <c r="K132" s="1"/>
      <c r="L132" s="1"/>
    </row>
    <row r="133" spans="1:12" x14ac:dyDescent="0.3">
      <c r="A133" s="1"/>
      <c r="B133" s="1"/>
      <c r="C133" s="1"/>
      <c r="D133" s="1"/>
      <c r="E133" s="1"/>
      <c r="F133" s="1"/>
      <c r="G133" s="1"/>
      <c r="H133" s="1"/>
      <c r="I133" s="1"/>
      <c r="J133" s="1"/>
      <c r="K133" s="1"/>
      <c r="L133" s="1"/>
    </row>
    <row r="134" spans="1:12" x14ac:dyDescent="0.3">
      <c r="A134" s="1"/>
      <c r="B134" s="1"/>
      <c r="C134" s="1"/>
      <c r="D134" s="1"/>
      <c r="E134" s="1"/>
      <c r="F134" s="1"/>
      <c r="G134" s="1"/>
      <c r="H134" s="1"/>
      <c r="I134" s="1"/>
      <c r="J134" s="1"/>
      <c r="K134" s="1"/>
      <c r="L134" s="1"/>
    </row>
    <row r="135" spans="1:12" x14ac:dyDescent="0.3">
      <c r="A135" s="1"/>
      <c r="B135" s="1"/>
      <c r="C135" s="1"/>
      <c r="D135" s="1"/>
      <c r="E135" s="1"/>
      <c r="F135" s="1"/>
      <c r="G135" s="1"/>
      <c r="H135" s="1"/>
      <c r="I135" s="1"/>
      <c r="J135" s="1"/>
      <c r="K135" s="1"/>
      <c r="L135" s="1"/>
    </row>
    <row r="136" spans="1:12" x14ac:dyDescent="0.3">
      <c r="A136" s="1"/>
      <c r="B136" s="1"/>
      <c r="C136" s="1"/>
      <c r="D136" s="1"/>
      <c r="E136" s="1"/>
      <c r="F136" s="1"/>
      <c r="G136" s="1"/>
      <c r="H136" s="1"/>
      <c r="I136" s="1"/>
      <c r="J136" s="1"/>
      <c r="K136" s="1"/>
      <c r="L136" s="1"/>
    </row>
    <row r="137" spans="1:12" x14ac:dyDescent="0.3">
      <c r="A137" s="1"/>
      <c r="B137" s="1"/>
      <c r="C137" s="1"/>
      <c r="D137" s="1"/>
      <c r="E137" s="1"/>
      <c r="F137" s="1"/>
      <c r="G137" s="1"/>
      <c r="H137" s="1"/>
      <c r="I137" s="1"/>
      <c r="J137" s="1"/>
      <c r="K137" s="1"/>
      <c r="L137" s="1"/>
    </row>
    <row r="138" spans="1:12" x14ac:dyDescent="0.3">
      <c r="A138" s="1"/>
      <c r="B138" s="1"/>
      <c r="C138" s="1"/>
      <c r="D138" s="1"/>
      <c r="E138" s="1"/>
      <c r="F138" s="1"/>
      <c r="G138" s="1"/>
      <c r="H138" s="1"/>
      <c r="I138" s="1"/>
      <c r="J138" s="1"/>
      <c r="K138" s="1"/>
      <c r="L138" s="1"/>
    </row>
    <row r="139" spans="1:12" x14ac:dyDescent="0.3">
      <c r="A139" s="1"/>
      <c r="B139" s="1"/>
      <c r="C139" s="1"/>
      <c r="D139" s="1"/>
      <c r="E139" s="1"/>
      <c r="F139" s="1"/>
      <c r="G139" s="1"/>
      <c r="H139" s="1"/>
      <c r="I139" s="1"/>
      <c r="J139" s="1"/>
      <c r="K139" s="1"/>
      <c r="L139" s="1"/>
    </row>
    <row r="140" spans="1:12" x14ac:dyDescent="0.3">
      <c r="A140" s="1"/>
      <c r="B140" s="1"/>
      <c r="C140" s="1"/>
      <c r="D140" s="1"/>
      <c r="E140" s="1"/>
      <c r="F140" s="1"/>
      <c r="G140" s="1"/>
      <c r="H140" s="1"/>
      <c r="I140" s="1"/>
      <c r="J140" s="1"/>
      <c r="K140" s="1"/>
      <c r="L140" s="1"/>
    </row>
    <row r="141" spans="1:12" x14ac:dyDescent="0.3">
      <c r="A141" s="1"/>
      <c r="B141" s="1"/>
      <c r="C141" s="1"/>
      <c r="D141" s="1"/>
      <c r="E141" s="1"/>
      <c r="F141" s="1"/>
      <c r="G141" s="1"/>
      <c r="H141" s="1"/>
      <c r="I141" s="1"/>
      <c r="J141" s="1"/>
      <c r="K141" s="1"/>
      <c r="L141" s="1"/>
    </row>
    <row r="142" spans="1:12" x14ac:dyDescent="0.3">
      <c r="A142" s="1"/>
      <c r="B142" s="1"/>
      <c r="C142" s="1"/>
      <c r="D142" s="1"/>
      <c r="E142" s="1"/>
      <c r="F142" s="1"/>
      <c r="G142" s="1"/>
      <c r="H142" s="1"/>
      <c r="I142" s="1"/>
      <c r="J142" s="1"/>
      <c r="K142" s="1"/>
      <c r="L142" s="1"/>
    </row>
    <row r="143" spans="1:12" x14ac:dyDescent="0.3">
      <c r="A143" s="1"/>
      <c r="B143" s="1"/>
      <c r="C143" s="1"/>
      <c r="D143" s="1"/>
      <c r="E143" s="1"/>
      <c r="F143" s="1"/>
      <c r="G143" s="1"/>
      <c r="H143" s="1"/>
      <c r="I143" s="1"/>
      <c r="J143" s="1"/>
      <c r="K143" s="1"/>
      <c r="L143" s="1"/>
    </row>
    <row r="144" spans="1:12" x14ac:dyDescent="0.3">
      <c r="A144" s="1"/>
      <c r="B144" s="1"/>
      <c r="C144" s="1"/>
      <c r="D144" s="1"/>
      <c r="E144" s="1"/>
      <c r="F144" s="1"/>
      <c r="G144" s="1"/>
      <c r="H144" s="1"/>
      <c r="I144" s="1"/>
      <c r="J144" s="1"/>
      <c r="K144" s="1"/>
      <c r="L144" s="1"/>
    </row>
    <row r="145" spans="1:12" x14ac:dyDescent="0.3">
      <c r="A145" s="1"/>
      <c r="B145" s="1"/>
      <c r="C145" s="1"/>
      <c r="D145" s="1"/>
      <c r="E145" s="1"/>
      <c r="F145" s="1"/>
      <c r="G145" s="1"/>
      <c r="H145" s="1"/>
      <c r="I145" s="1"/>
      <c r="J145" s="1"/>
      <c r="K145" s="1"/>
      <c r="L145" s="1"/>
    </row>
    <row r="146" spans="1:12" x14ac:dyDescent="0.3">
      <c r="A146" s="1"/>
      <c r="B146" s="1"/>
      <c r="C146" s="1"/>
      <c r="D146" s="1"/>
      <c r="E146" s="1"/>
      <c r="F146" s="1"/>
      <c r="G146" s="1"/>
      <c r="H146" s="1"/>
      <c r="I146" s="1"/>
      <c r="J146" s="1"/>
      <c r="K146" s="1"/>
      <c r="L146" s="1"/>
    </row>
    <row r="147" spans="1:12" x14ac:dyDescent="0.3">
      <c r="A147" s="1"/>
      <c r="B147" s="1"/>
      <c r="C147" s="1"/>
      <c r="D147" s="1"/>
      <c r="E147" s="1"/>
      <c r="F147" s="1"/>
      <c r="G147" s="1"/>
      <c r="H147" s="1"/>
      <c r="I147" s="1"/>
      <c r="J147" s="1"/>
      <c r="K147" s="1"/>
      <c r="L147" s="1"/>
    </row>
    <row r="148" spans="1:12" x14ac:dyDescent="0.3">
      <c r="A148" s="1"/>
      <c r="B148" s="1"/>
      <c r="C148" s="1"/>
      <c r="D148" s="1"/>
      <c r="E148" s="1"/>
      <c r="F148" s="1"/>
      <c r="G148" s="1"/>
      <c r="H148" s="1"/>
      <c r="I148" s="1"/>
      <c r="J148" s="1"/>
      <c r="K148" s="1"/>
      <c r="L148" s="1"/>
    </row>
    <row r="149" spans="1:12" x14ac:dyDescent="0.3">
      <c r="A149" s="1"/>
      <c r="B149" s="1"/>
      <c r="C149" s="1"/>
      <c r="D149" s="1"/>
      <c r="E149" s="1"/>
      <c r="F149" s="1"/>
      <c r="G149" s="1"/>
      <c r="H149" s="1"/>
      <c r="I149" s="1"/>
      <c r="J149" s="1"/>
      <c r="K149" s="1"/>
      <c r="L149" s="1"/>
    </row>
    <row r="150" spans="1:12" x14ac:dyDescent="0.3">
      <c r="A150" s="1"/>
      <c r="B150" s="1"/>
      <c r="C150" s="1"/>
      <c r="D150" s="1"/>
      <c r="E150" s="1"/>
      <c r="F150" s="1"/>
      <c r="G150" s="1"/>
      <c r="H150" s="1"/>
      <c r="I150" s="1"/>
      <c r="J150" s="1"/>
      <c r="K150" s="1"/>
      <c r="L150" s="1"/>
    </row>
    <row r="151" spans="1:12" x14ac:dyDescent="0.3">
      <c r="A151" s="1"/>
      <c r="B151" s="1"/>
      <c r="C151" s="1"/>
      <c r="D151" s="1"/>
      <c r="E151" s="1"/>
      <c r="F151" s="1"/>
      <c r="G151" s="1"/>
      <c r="H151" s="1"/>
      <c r="I151" s="1"/>
      <c r="J151" s="1"/>
      <c r="K151" s="1"/>
      <c r="L151" s="1"/>
    </row>
    <row r="152" spans="1:12" x14ac:dyDescent="0.3">
      <c r="A152" s="1"/>
      <c r="B152" s="1"/>
      <c r="C152" s="1"/>
      <c r="D152" s="1"/>
      <c r="E152" s="1"/>
      <c r="F152" s="1"/>
      <c r="G152" s="1"/>
      <c r="H152" s="1"/>
      <c r="I152" s="1"/>
      <c r="J152" s="1"/>
      <c r="K152" s="1"/>
      <c r="L152" s="1"/>
    </row>
    <row r="153" spans="1:12" x14ac:dyDescent="0.3">
      <c r="A153" s="1"/>
      <c r="B153" s="1"/>
      <c r="C153" s="1"/>
      <c r="D153" s="1"/>
      <c r="E153" s="1"/>
      <c r="F153" s="1"/>
      <c r="G153" s="1"/>
      <c r="H153" s="1"/>
      <c r="I153" s="1"/>
      <c r="J153" s="1"/>
      <c r="K153" s="1"/>
      <c r="L153" s="1"/>
    </row>
    <row r="154" spans="1:12" x14ac:dyDescent="0.3">
      <c r="A154" s="1"/>
      <c r="B154" s="1"/>
      <c r="C154" s="1"/>
      <c r="D154" s="1"/>
      <c r="E154" s="1"/>
      <c r="F154" s="1"/>
      <c r="G154" s="1"/>
      <c r="H154" s="1"/>
      <c r="I154" s="1"/>
      <c r="J154" s="1"/>
      <c r="K154" s="1"/>
      <c r="L154" s="1"/>
    </row>
    <row r="155" spans="1:12" x14ac:dyDescent="0.3">
      <c r="A155" s="1"/>
      <c r="B155" s="1"/>
      <c r="C155" s="1"/>
      <c r="D155" s="1"/>
      <c r="E155" s="1"/>
      <c r="F155" s="1"/>
      <c r="G155" s="1"/>
      <c r="H155" s="1"/>
      <c r="I155" s="1"/>
      <c r="J155" s="1"/>
      <c r="K155" s="1"/>
      <c r="L155" s="1"/>
    </row>
    <row r="156" spans="1:12" x14ac:dyDescent="0.3">
      <c r="A156" s="1"/>
      <c r="B156" s="1"/>
      <c r="C156" s="1"/>
      <c r="D156" s="1"/>
      <c r="E156" s="1"/>
      <c r="F156" s="1"/>
      <c r="G156" s="1"/>
      <c r="H156" s="1"/>
      <c r="I156" s="1"/>
      <c r="J156" s="1"/>
      <c r="K156" s="1"/>
      <c r="L156" s="1"/>
    </row>
    <row r="157" spans="1:12" x14ac:dyDescent="0.3">
      <c r="A157" s="1"/>
      <c r="B157" s="1"/>
      <c r="C157" s="1"/>
      <c r="D157" s="1"/>
      <c r="E157" s="1"/>
      <c r="F157" s="1"/>
      <c r="G157" s="1"/>
      <c r="H157" s="1"/>
      <c r="I157" s="1"/>
      <c r="J157" s="1"/>
      <c r="K157" s="1"/>
      <c r="L157" s="1"/>
    </row>
    <row r="158" spans="1:12" x14ac:dyDescent="0.3">
      <c r="A158" s="1"/>
      <c r="B158" s="1"/>
      <c r="C158" s="1"/>
      <c r="D158" s="1"/>
      <c r="E158" s="1"/>
      <c r="F158" s="1"/>
      <c r="G158" s="1"/>
      <c r="H158" s="1"/>
      <c r="I158" s="1"/>
      <c r="J158" s="1"/>
      <c r="K158" s="1"/>
      <c r="L158" s="1"/>
    </row>
    <row r="159" spans="1:12" x14ac:dyDescent="0.3">
      <c r="A159" s="1"/>
      <c r="B159" s="1"/>
      <c r="C159" s="1"/>
      <c r="D159" s="1"/>
      <c r="E159" s="1"/>
      <c r="F159" s="1"/>
      <c r="G159" s="1"/>
      <c r="H159" s="1"/>
      <c r="I159" s="1"/>
      <c r="J159" s="1"/>
      <c r="K159" s="1"/>
      <c r="L159" s="1"/>
    </row>
    <row r="160" spans="1:12" x14ac:dyDescent="0.3">
      <c r="A160" s="1"/>
      <c r="B160" s="1"/>
      <c r="C160" s="1"/>
      <c r="D160" s="1"/>
      <c r="E160" s="1"/>
      <c r="F160" s="1"/>
      <c r="G160" s="1"/>
      <c r="H160" s="1"/>
      <c r="I160" s="1"/>
      <c r="J160" s="1"/>
      <c r="K160" s="1"/>
      <c r="L160" s="1"/>
    </row>
    <row r="161" spans="1:12" x14ac:dyDescent="0.3">
      <c r="A161" s="1"/>
      <c r="B161" s="1"/>
      <c r="C161" s="1"/>
      <c r="D161" s="1"/>
      <c r="E161" s="1"/>
      <c r="F161" s="1"/>
      <c r="G161" s="1"/>
      <c r="H161" s="1"/>
      <c r="I161" s="1"/>
      <c r="J161" s="1"/>
      <c r="K161" s="1"/>
      <c r="L161" s="1"/>
    </row>
    <row r="162" spans="1:12" x14ac:dyDescent="0.3">
      <c r="A162" s="1"/>
      <c r="B162" s="1"/>
      <c r="C162" s="1"/>
      <c r="D162" s="1"/>
      <c r="E162" s="1"/>
      <c r="F162" s="1"/>
      <c r="G162" s="1"/>
      <c r="H162" s="1"/>
      <c r="I162" s="1"/>
      <c r="J162" s="1"/>
      <c r="K162" s="1"/>
      <c r="L162" s="1"/>
    </row>
    <row r="163" spans="1:12" x14ac:dyDescent="0.3">
      <c r="A163" s="1"/>
      <c r="B163" s="1"/>
      <c r="C163" s="1"/>
      <c r="D163" s="1"/>
      <c r="E163" s="1"/>
      <c r="F163" s="1"/>
      <c r="G163" s="1"/>
      <c r="H163" s="1"/>
      <c r="I163" s="1"/>
      <c r="J163" s="1"/>
      <c r="K163" s="1"/>
      <c r="L163" s="1"/>
    </row>
    <row r="164" spans="1:12" x14ac:dyDescent="0.3">
      <c r="A164" s="1"/>
      <c r="B164" s="1"/>
      <c r="C164" s="1"/>
      <c r="D164" s="1"/>
      <c r="E164" s="1"/>
      <c r="F164" s="1"/>
      <c r="G164" s="1"/>
      <c r="H164" s="1"/>
      <c r="I164" s="1"/>
      <c r="J164" s="1"/>
      <c r="K164" s="1"/>
      <c r="L164" s="1"/>
    </row>
    <row r="165" spans="1:12" x14ac:dyDescent="0.3">
      <c r="A165" s="1"/>
      <c r="B165" s="1"/>
      <c r="C165" s="1"/>
      <c r="D165" s="1"/>
      <c r="E165" s="1"/>
      <c r="F165" s="1"/>
      <c r="G165" s="1"/>
      <c r="H165" s="1"/>
      <c r="I165" s="1"/>
      <c r="J165" s="1"/>
      <c r="K165" s="1"/>
      <c r="L165" s="1"/>
    </row>
    <row r="166" spans="1:12" x14ac:dyDescent="0.3">
      <c r="A166" s="1"/>
      <c r="B166" s="1"/>
      <c r="C166" s="1"/>
      <c r="D166" s="1"/>
      <c r="E166" s="1"/>
      <c r="F166" s="1"/>
      <c r="G166" s="1"/>
      <c r="H166" s="1"/>
      <c r="I166" s="1"/>
      <c r="J166" s="1"/>
      <c r="K166" s="1"/>
      <c r="L166" s="1"/>
    </row>
    <row r="167" spans="1:12" x14ac:dyDescent="0.3">
      <c r="A167" s="1"/>
      <c r="B167" s="1"/>
      <c r="C167" s="1"/>
      <c r="D167" s="1"/>
      <c r="E167" s="1"/>
      <c r="F167" s="1"/>
      <c r="G167" s="1"/>
      <c r="H167" s="1"/>
      <c r="I167" s="1"/>
      <c r="J167" s="1"/>
      <c r="K167" s="1"/>
      <c r="L167" s="1"/>
    </row>
    <row r="168" spans="1:12" x14ac:dyDescent="0.3">
      <c r="A168" s="1"/>
      <c r="B168" s="1"/>
      <c r="C168" s="1"/>
      <c r="D168" s="1"/>
      <c r="E168" s="1"/>
      <c r="F168" s="1"/>
      <c r="G168" s="1"/>
      <c r="H168" s="1"/>
      <c r="I168" s="1"/>
      <c r="J168" s="1"/>
      <c r="K168" s="1"/>
      <c r="L168" s="1"/>
    </row>
    <row r="169" spans="1:12" x14ac:dyDescent="0.3">
      <c r="A169" s="1"/>
      <c r="B169" s="1"/>
      <c r="C169" s="1"/>
      <c r="D169" s="1"/>
      <c r="E169" s="1"/>
      <c r="F169" s="1"/>
      <c r="G169" s="1"/>
      <c r="H169" s="1"/>
      <c r="I169" s="1"/>
      <c r="J169" s="1"/>
      <c r="K169" s="1"/>
      <c r="L169" s="1"/>
    </row>
    <row r="170" spans="1:12" x14ac:dyDescent="0.3">
      <c r="A170" s="1"/>
      <c r="B170" s="1"/>
      <c r="C170" s="1"/>
      <c r="D170" s="1"/>
      <c r="E170" s="1"/>
      <c r="F170" s="1"/>
      <c r="G170" s="1"/>
      <c r="H170" s="1"/>
      <c r="I170" s="1"/>
      <c r="J170" s="1"/>
      <c r="K170" s="1"/>
      <c r="L170" s="1"/>
    </row>
    <row r="171" spans="1:12" x14ac:dyDescent="0.3">
      <c r="A171" s="1"/>
      <c r="B171" s="1"/>
      <c r="C171" s="1"/>
      <c r="D171" s="1"/>
      <c r="E171" s="1"/>
      <c r="F171" s="1"/>
      <c r="G171" s="1"/>
      <c r="H171" s="1"/>
      <c r="I171" s="1"/>
      <c r="J171" s="1"/>
      <c r="K171" s="1"/>
      <c r="L171" s="1"/>
    </row>
    <row r="172" spans="1:12" x14ac:dyDescent="0.3">
      <c r="A172" s="1"/>
      <c r="B172" s="1"/>
      <c r="C172" s="1"/>
      <c r="D172" s="1"/>
      <c r="E172" s="1"/>
      <c r="F172" s="1"/>
      <c r="G172" s="1"/>
      <c r="H172" s="1"/>
      <c r="I172" s="1"/>
      <c r="J172" s="1"/>
      <c r="K172" s="1"/>
      <c r="L172" s="1"/>
    </row>
    <row r="173" spans="1:12" x14ac:dyDescent="0.3">
      <c r="A173" s="1"/>
      <c r="B173" s="1"/>
      <c r="C173" s="1"/>
      <c r="D173" s="1"/>
      <c r="E173" s="1"/>
      <c r="F173" s="1"/>
      <c r="G173" s="1"/>
      <c r="H173" s="1"/>
      <c r="I173" s="1"/>
      <c r="J173" s="1"/>
      <c r="K173" s="1"/>
      <c r="L173" s="1"/>
    </row>
    <row r="174" spans="1:12" x14ac:dyDescent="0.3">
      <c r="A174" s="1"/>
      <c r="B174" s="1"/>
      <c r="C174" s="1"/>
      <c r="D174" s="1"/>
      <c r="E174" s="1"/>
      <c r="F174" s="1"/>
      <c r="G174" s="1"/>
      <c r="H174" s="1"/>
      <c r="I174" s="1"/>
      <c r="J174" s="1"/>
      <c r="K174" s="1"/>
      <c r="L174" s="1"/>
    </row>
    <row r="175" spans="1:12" x14ac:dyDescent="0.3">
      <c r="A175" s="1"/>
      <c r="B175" s="1"/>
      <c r="C175" s="1"/>
      <c r="D175" s="1"/>
      <c r="E175" s="1"/>
      <c r="F175" s="1"/>
      <c r="G175" s="1"/>
      <c r="H175" s="1"/>
      <c r="I175" s="1"/>
      <c r="J175" s="1"/>
      <c r="K175" s="1"/>
      <c r="L175" s="1"/>
    </row>
    <row r="176" spans="1:12" x14ac:dyDescent="0.3">
      <c r="A176" s="1"/>
      <c r="B176" s="1"/>
      <c r="C176" s="1"/>
      <c r="D176" s="1"/>
      <c r="E176" s="1"/>
      <c r="F176" s="1"/>
      <c r="G176" s="1"/>
      <c r="H176" s="1"/>
      <c r="I176" s="1"/>
      <c r="J176" s="1"/>
      <c r="K176" s="1"/>
      <c r="L176" s="1"/>
    </row>
    <row r="177" spans="1:12" x14ac:dyDescent="0.3">
      <c r="A177" s="1"/>
      <c r="B177" s="1"/>
      <c r="C177" s="1"/>
      <c r="D177" s="1"/>
      <c r="E177" s="1"/>
      <c r="F177" s="1"/>
      <c r="G177" s="1"/>
      <c r="H177" s="1"/>
      <c r="I177" s="1"/>
      <c r="J177" s="1"/>
      <c r="K177" s="1"/>
      <c r="L177" s="1"/>
    </row>
    <row r="178" spans="1:12" x14ac:dyDescent="0.3">
      <c r="A178" s="1"/>
      <c r="B178" s="1"/>
      <c r="C178" s="1"/>
      <c r="D178" s="1"/>
      <c r="E178" s="1"/>
      <c r="F178" s="1"/>
      <c r="G178" s="1"/>
      <c r="H178" s="1"/>
      <c r="I178" s="1"/>
      <c r="J178" s="1"/>
      <c r="K178" s="1"/>
      <c r="L178" s="1"/>
    </row>
    <row r="179" spans="1:12" x14ac:dyDescent="0.3">
      <c r="A179" s="1"/>
      <c r="B179" s="1"/>
      <c r="C179" s="1"/>
      <c r="D179" s="1"/>
      <c r="E179" s="1"/>
      <c r="F179" s="1"/>
      <c r="G179" s="1"/>
      <c r="H179" s="1"/>
      <c r="I179" s="1"/>
      <c r="J179" s="1"/>
      <c r="K179" s="1"/>
      <c r="L179" s="1"/>
    </row>
    <row r="180" spans="1:12" x14ac:dyDescent="0.3">
      <c r="A180" s="1"/>
      <c r="B180" s="1"/>
      <c r="C180" s="1"/>
      <c r="D180" s="1"/>
      <c r="E180" s="1"/>
      <c r="F180" s="1"/>
      <c r="G180" s="1"/>
      <c r="H180" s="1"/>
      <c r="I180" s="1"/>
      <c r="J180" s="1"/>
      <c r="K180" s="1"/>
      <c r="L180" s="1"/>
    </row>
    <row r="181" spans="1:12" x14ac:dyDescent="0.3">
      <c r="A181" s="1"/>
      <c r="B181" s="1"/>
      <c r="C181" s="1"/>
      <c r="D181" s="1"/>
      <c r="E181" s="1"/>
      <c r="F181" s="1"/>
      <c r="G181" s="1"/>
      <c r="H181" s="1"/>
      <c r="I181" s="1"/>
      <c r="J181" s="1"/>
      <c r="K181" s="1"/>
      <c r="L181" s="1"/>
    </row>
    <row r="182" spans="1:12" x14ac:dyDescent="0.3">
      <c r="A182" s="1"/>
      <c r="B182" s="1"/>
      <c r="C182" s="1"/>
      <c r="D182" s="1"/>
      <c r="E182" s="1"/>
      <c r="F182" s="1"/>
      <c r="G182" s="1"/>
      <c r="H182" s="1"/>
      <c r="I182" s="1"/>
      <c r="J182" s="1"/>
      <c r="K182" s="1"/>
      <c r="L182" s="1"/>
    </row>
    <row r="183" spans="1:12" x14ac:dyDescent="0.3">
      <c r="A183" s="1"/>
      <c r="B183" s="1"/>
      <c r="C183" s="1"/>
      <c r="D183" s="1"/>
      <c r="E183" s="1"/>
      <c r="F183" s="1"/>
      <c r="G183" s="1"/>
      <c r="H183" s="1"/>
      <c r="I183" s="1"/>
      <c r="J183" s="1"/>
      <c r="K183" s="1"/>
      <c r="L183" s="1"/>
    </row>
    <row r="184" spans="1:12" x14ac:dyDescent="0.3">
      <c r="A184" s="1"/>
      <c r="B184" s="1"/>
      <c r="C184" s="1"/>
      <c r="D184" s="1"/>
      <c r="E184" s="1"/>
      <c r="F184" s="1"/>
      <c r="G184" s="1"/>
      <c r="H184" s="1"/>
      <c r="I184" s="1"/>
      <c r="J184" s="1"/>
      <c r="K184" s="1"/>
      <c r="L184" s="1"/>
    </row>
    <row r="185" spans="1:12" x14ac:dyDescent="0.3">
      <c r="A185" s="1"/>
      <c r="B185" s="1"/>
      <c r="C185" s="1"/>
      <c r="D185" s="1"/>
      <c r="E185" s="1"/>
      <c r="F185" s="1"/>
      <c r="G185" s="1"/>
      <c r="H185" s="1"/>
      <c r="I185" s="1"/>
      <c r="J185" s="1"/>
      <c r="K185" s="1"/>
      <c r="L185" s="1"/>
    </row>
    <row r="186" spans="1:12" x14ac:dyDescent="0.3">
      <c r="A186" s="1"/>
      <c r="B186" s="1"/>
      <c r="C186" s="1"/>
      <c r="D186" s="1"/>
      <c r="E186" s="1"/>
      <c r="F186" s="1"/>
      <c r="G186" s="1"/>
      <c r="H186" s="1"/>
      <c r="I186" s="1"/>
      <c r="J186" s="1"/>
      <c r="K186" s="1"/>
      <c r="L186" s="1"/>
    </row>
    <row r="187" spans="1:12" x14ac:dyDescent="0.3">
      <c r="A187" s="1"/>
      <c r="B187" s="1"/>
      <c r="C187" s="1"/>
      <c r="D187" s="1"/>
      <c r="E187" s="1"/>
      <c r="F187" s="1"/>
      <c r="G187" s="1"/>
      <c r="H187" s="1"/>
      <c r="I187" s="1"/>
      <c r="J187" s="1"/>
      <c r="K187" s="1"/>
      <c r="L187" s="1"/>
    </row>
    <row r="188" spans="1:12" x14ac:dyDescent="0.3">
      <c r="A188" s="1"/>
      <c r="B188" s="1"/>
      <c r="C188" s="1"/>
      <c r="D188" s="1"/>
      <c r="E188" s="1"/>
      <c r="F188" s="1"/>
      <c r="G188" s="1"/>
      <c r="H188" s="1"/>
      <c r="I188" s="1"/>
      <c r="J188" s="1"/>
      <c r="K188" s="1"/>
      <c r="L188" s="1"/>
    </row>
    <row r="189" spans="1:12" x14ac:dyDescent="0.3">
      <c r="A189" s="1"/>
      <c r="B189" s="1"/>
      <c r="C189" s="1"/>
      <c r="D189" s="1"/>
      <c r="E189" s="1"/>
      <c r="F189" s="1"/>
      <c r="G189" s="1"/>
      <c r="H189" s="1"/>
      <c r="I189" s="1"/>
      <c r="J189" s="1"/>
      <c r="K189" s="1"/>
      <c r="L189" s="1"/>
    </row>
    <row r="190" spans="1:12" x14ac:dyDescent="0.3">
      <c r="A190" s="1"/>
      <c r="B190" s="1"/>
      <c r="C190" s="1"/>
      <c r="D190" s="1"/>
      <c r="E190" s="1"/>
      <c r="F190" s="1"/>
      <c r="G190" s="1"/>
      <c r="H190" s="1"/>
      <c r="I190" s="1"/>
      <c r="J190" s="1"/>
      <c r="K190" s="1"/>
      <c r="L190" s="1"/>
    </row>
    <row r="191" spans="1:12" x14ac:dyDescent="0.3">
      <c r="A191" s="1"/>
      <c r="B191" s="1"/>
      <c r="C191" s="1"/>
      <c r="D191" s="1"/>
      <c r="E191" s="1"/>
      <c r="F191" s="1"/>
      <c r="G191" s="1"/>
      <c r="H191" s="1"/>
      <c r="I191" s="1"/>
      <c r="J191" s="1"/>
      <c r="K191" s="1"/>
      <c r="L191" s="1"/>
    </row>
    <row r="192" spans="1:12" x14ac:dyDescent="0.3">
      <c r="A192" s="1"/>
      <c r="B192" s="1"/>
      <c r="C192" s="1"/>
      <c r="D192" s="1"/>
      <c r="E192" s="1"/>
      <c r="F192" s="1"/>
      <c r="G192" s="1"/>
      <c r="H192" s="1"/>
      <c r="I192" s="1"/>
      <c r="J192" s="1"/>
      <c r="K192" s="1"/>
      <c r="L192" s="1"/>
    </row>
    <row r="193" spans="1:12" x14ac:dyDescent="0.3">
      <c r="A193" s="1"/>
      <c r="B193" s="1"/>
      <c r="C193" s="1"/>
      <c r="D193" s="1"/>
      <c r="E193" s="1"/>
      <c r="F193" s="1"/>
      <c r="G193" s="1"/>
      <c r="H193" s="1"/>
      <c r="I193" s="1"/>
      <c r="J193" s="1"/>
      <c r="K193" s="1"/>
      <c r="L193" s="1"/>
    </row>
    <row r="194" spans="1:12" x14ac:dyDescent="0.3">
      <c r="A194" s="1"/>
      <c r="B194" s="1"/>
      <c r="C194" s="1"/>
      <c r="D194" s="1"/>
      <c r="E194" s="1"/>
      <c r="F194" s="1"/>
      <c r="G194" s="1"/>
      <c r="H194" s="1"/>
      <c r="I194" s="1"/>
      <c r="J194" s="1"/>
      <c r="K194" s="1"/>
      <c r="L194" s="1"/>
    </row>
    <row r="195" spans="1:12" x14ac:dyDescent="0.3">
      <c r="A195" s="1"/>
      <c r="B195" s="1"/>
      <c r="C195" s="1"/>
      <c r="D195" s="1"/>
      <c r="E195" s="1"/>
      <c r="F195" s="1"/>
      <c r="G195" s="1"/>
      <c r="H195" s="1"/>
      <c r="I195" s="1"/>
      <c r="J195" s="1"/>
      <c r="K195" s="1"/>
      <c r="L195" s="1"/>
    </row>
    <row r="196" spans="1:12" x14ac:dyDescent="0.3">
      <c r="A196" s="1"/>
      <c r="B196" s="1"/>
      <c r="C196" s="1"/>
      <c r="D196" s="1"/>
      <c r="E196" s="1"/>
      <c r="F196" s="1"/>
      <c r="G196" s="1"/>
      <c r="H196" s="1"/>
      <c r="I196" s="1"/>
      <c r="J196" s="1"/>
      <c r="K196" s="1"/>
      <c r="L196" s="1"/>
    </row>
    <row r="197" spans="1:12" x14ac:dyDescent="0.3">
      <c r="A197" s="1"/>
      <c r="B197" s="1"/>
      <c r="C197" s="1"/>
      <c r="D197" s="1"/>
      <c r="E197" s="1"/>
      <c r="F197" s="1"/>
      <c r="G197" s="1"/>
      <c r="H197" s="1"/>
      <c r="I197" s="1"/>
      <c r="J197" s="1"/>
      <c r="K197" s="1"/>
      <c r="L197" s="1"/>
    </row>
    <row r="198" spans="1:12" x14ac:dyDescent="0.3">
      <c r="A198" s="1"/>
      <c r="B198" s="1"/>
      <c r="C198" s="1"/>
      <c r="D198" s="1"/>
      <c r="E198" s="1"/>
      <c r="F198" s="1"/>
      <c r="G198" s="1"/>
      <c r="H198" s="1"/>
      <c r="I198" s="1"/>
      <c r="J198" s="1"/>
      <c r="K198" s="1"/>
      <c r="L198" s="1"/>
    </row>
    <row r="199" spans="1:12" x14ac:dyDescent="0.3">
      <c r="A199" s="1"/>
      <c r="B199" s="1"/>
      <c r="C199" s="1"/>
      <c r="D199" s="1"/>
      <c r="E199" s="1"/>
      <c r="F199" s="1"/>
      <c r="G199" s="1"/>
      <c r="H199" s="1"/>
      <c r="I199" s="1"/>
      <c r="J199" s="1"/>
      <c r="K199" s="1"/>
      <c r="L199" s="1"/>
    </row>
    <row r="200" spans="1:12" x14ac:dyDescent="0.3">
      <c r="A200" s="1"/>
      <c r="B200" s="1"/>
      <c r="C200" s="1"/>
      <c r="D200" s="1"/>
      <c r="E200" s="1"/>
      <c r="F200" s="1"/>
      <c r="G200" s="1"/>
      <c r="H200" s="1"/>
      <c r="I200" s="1"/>
      <c r="J200" s="1"/>
      <c r="K200" s="1"/>
      <c r="L200" s="1"/>
    </row>
  </sheetData>
  <mergeCells count="2">
    <mergeCell ref="A6:C6"/>
    <mergeCell ref="E6:G6"/>
  </mergeCells>
  <pageMargins left="0.7" right="0.7" top="0.75" bottom="0.75" header="0.3" footer="0.3"/>
  <drawing r:id="rId1"/>
  <legacyDrawing r:id="rId2"/>
  <controls>
    <mc:AlternateContent xmlns:mc="http://schemas.openxmlformats.org/markup-compatibility/2006">
      <mc:Choice Requires="x14">
        <control shapeId="23554" r:id="rId3" name="CommandButton2">
          <controlPr defaultSize="0" autoLine="0" r:id="rId4">
            <anchor moveWithCells="1">
              <from>
                <xdr:col>9</xdr:col>
                <xdr:colOff>845820</xdr:colOff>
                <xdr:row>18</xdr:row>
                <xdr:rowOff>30480</xdr:rowOff>
              </from>
              <to>
                <xdr:col>11</xdr:col>
                <xdr:colOff>228600</xdr:colOff>
                <xdr:row>21</xdr:row>
                <xdr:rowOff>38100</xdr:rowOff>
              </to>
            </anchor>
          </controlPr>
        </control>
      </mc:Choice>
      <mc:Fallback>
        <control shapeId="23554" r:id="rId3" name="CommandButton2"/>
      </mc:Fallback>
    </mc:AlternateContent>
    <mc:AlternateContent xmlns:mc="http://schemas.openxmlformats.org/markup-compatibility/2006">
      <mc:Choice Requires="x14">
        <control shapeId="23553" r:id="rId5" name="CommandButton1">
          <controlPr defaultSize="0" autoLine="0" autoPict="0" r:id="rId6">
            <anchor moveWithCells="1">
              <from>
                <xdr:col>0</xdr:col>
                <xdr:colOff>0</xdr:colOff>
                <xdr:row>18</xdr:row>
                <xdr:rowOff>30480</xdr:rowOff>
              </from>
              <to>
                <xdr:col>1</xdr:col>
                <xdr:colOff>365760</xdr:colOff>
                <xdr:row>21</xdr:row>
                <xdr:rowOff>30480</xdr:rowOff>
              </to>
            </anchor>
          </controlPr>
        </control>
      </mc:Choice>
      <mc:Fallback>
        <control shapeId="23553" r:id="rId5" name="CommandButton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03DD1-45F1-4F94-99A7-8E4D2CE26157}">
  <sheetPr codeName="Sheet18"/>
  <dimension ref="A1:AE120"/>
  <sheetViews>
    <sheetView topLeftCell="R1" workbookViewId="0">
      <selection activeCell="K4" sqref="K4"/>
    </sheetView>
  </sheetViews>
  <sheetFormatPr defaultRowHeight="14.4" x14ac:dyDescent="0.3"/>
  <cols>
    <col min="13" max="13" width="20" customWidth="1"/>
    <col min="14" max="14" width="14.77734375" customWidth="1"/>
    <col min="15" max="15" width="6.77734375" customWidth="1"/>
    <col min="16" max="19" width="11.21875" customWidth="1"/>
    <col min="23" max="23" width="11.21875" customWidth="1"/>
    <col min="28" max="28" width="11.21875" customWidth="1"/>
    <col min="29" max="29" width="17.21875" customWidth="1"/>
  </cols>
  <sheetData>
    <row r="1" spans="1:31" x14ac:dyDescent="0.3">
      <c r="A1" s="8" t="s">
        <v>30</v>
      </c>
      <c r="B1" s="8" t="s">
        <v>34</v>
      </c>
      <c r="C1" s="8" t="s">
        <v>31</v>
      </c>
      <c r="D1" s="9" t="s">
        <v>35</v>
      </c>
      <c r="E1" s="8" t="s">
        <v>30</v>
      </c>
      <c r="F1" s="8" t="s">
        <v>34</v>
      </c>
      <c r="G1" s="8" t="s">
        <v>31</v>
      </c>
      <c r="H1" s="9" t="s">
        <v>35</v>
      </c>
      <c r="I1" s="8" t="s">
        <v>30</v>
      </c>
      <c r="J1" s="8" t="s">
        <v>34</v>
      </c>
      <c r="K1" s="8" t="s">
        <v>31</v>
      </c>
      <c r="L1" s="9" t="s">
        <v>35</v>
      </c>
      <c r="M1" s="6" t="s">
        <v>37</v>
      </c>
      <c r="N1" s="6" t="s">
        <v>38</v>
      </c>
      <c r="O1" s="6" t="s">
        <v>20</v>
      </c>
      <c r="P1" s="6" t="s">
        <v>36</v>
      </c>
      <c r="Q1" s="6" t="s">
        <v>41</v>
      </c>
      <c r="R1" s="6" t="s">
        <v>32</v>
      </c>
      <c r="S1" s="6" t="s">
        <v>42</v>
      </c>
      <c r="T1" s="6" t="s">
        <v>39</v>
      </c>
      <c r="U1" s="6" t="s">
        <v>40</v>
      </c>
      <c r="V1" s="6" t="s">
        <v>20</v>
      </c>
      <c r="W1" s="6" t="s">
        <v>36</v>
      </c>
      <c r="X1" s="6" t="s">
        <v>41</v>
      </c>
      <c r="Y1" s="6" t="s">
        <v>32</v>
      </c>
      <c r="Z1" s="6" t="s">
        <v>42</v>
      </c>
      <c r="AB1" s="6" t="s">
        <v>49</v>
      </c>
      <c r="AC1" s="6" t="s">
        <v>50</v>
      </c>
      <c r="AE1" t="e" cm="1" vm="1">
        <f t="array" aca="1" ref="AE1" ca="1">_xlfn.VSTACK(_xlfn._xlws.FILTER(P:S, (S:S&lt;&gt;"")*(S:S&lt;&gt;"Total Score")*(ISNA(S:S)=FALSE)), _xlfn._xlws.FILTER(W:Z, (X:X&lt;&gt;"")*(X:X&lt;&gt;"Total Score")*(ISNA(X:X)=FALSE)))</f>
        <v>#VALUE!</v>
      </c>
    </row>
    <row r="2" spans="1:31" x14ac:dyDescent="0.3">
      <c r="A2" t="str" cm="1">
        <f t="array" aca="1" ref="A2" ca="1">IFERROR(_xlfn._xlws.FILTER('Round 3'!$A:$A, ('Round 3'!$A:$A&lt;&gt;"")*('Round 3'!#REF!&lt;&gt;"Affirmative")), "")</f>
        <v/>
      </c>
      <c r="C2" t="str" cm="1">
        <f t="array" aca="1" ref="C2" ca="1">IFERROR(_xlfn._xlws.FILTER('Round 3'!$C:$D, ('Round 3'!$D:$D&lt;&gt;"")*('Round 3'!$C:$C&lt;&gt;"Negative")), "")</f>
        <v/>
      </c>
      <c r="E2" t="str" cm="1">
        <f t="array" aca="1" ref="E2" ca="1">IFERROR(_xlfn._xlws.FILTER('Round 3'!$E:$G, ('Round 3'!$G:$G&lt;&gt;"")*('Round 3'!$E:$E&lt;&gt;"Affirmative")), "")</f>
        <v/>
      </c>
      <c r="G2" t="str" cm="1">
        <f t="array" aca="1" ref="G2" ca="1">IFERROR(_xlfn._xlws.FILTER('Round 3'!$H:$I, ('Round 3'!$I:$I&lt;&gt;"")*('Round 3'!$H:$H&lt;&gt;"Negative")), "")</f>
        <v/>
      </c>
      <c r="I2" t="str" cm="1">
        <f t="array" aca="1" ref="I2" ca="1">IFERROR(_xlfn._xlws.FILTER('Round 3'!$K:$L, ('Round 3'!$L:$L&lt;&gt;"")*('Round 3'!$K:$K&lt;&gt;"Affirmative")), "")</f>
        <v/>
      </c>
      <c r="K2" t="str" cm="1">
        <f t="array" aca="1" ref="K2" ca="1">IFERROR(_xlfn._xlws.FILTER('Round 3'!$M:$N, ('Round 3'!$N:$N&lt;&gt;"")*('Round 3'!$M:$M&lt;&gt;"Negative")), "")</f>
        <v/>
      </c>
      <c r="M2" t="str" cm="1">
        <f t="array" aca="1" ref="M2:M4" ca="1">IFERROR(_xlfn.VSTACK(_xlfn.ANCHORARRAY(A2),_xlfn.ANCHORARRAY( E2),_xlfn.ANCHORARRAY( I2)), "")</f>
        <v/>
      </c>
      <c r="O2" t="str">
        <f ca="1">IFERROR(INDEX(Roll!$C:$C, MATCH(M2, Roll!$B:$B, 0)), "")</f>
        <v/>
      </c>
      <c r="P2" t="str">
        <f ca="1">IF(O2&lt;&gt;"",IFERROR(MODE(O2:O4), O2), "")</f>
        <v/>
      </c>
      <c r="T2" t="str" cm="1">
        <f t="array" aca="1" ref="T2:T4" ca="1">IFERROR(_xlfn.VSTACK(_xlfn.ANCHORARRAY(C2),_xlfn.ANCHORARRAY( G2),_xlfn.ANCHORARRAY( K2)), "")</f>
        <v/>
      </c>
      <c r="V2" t="str">
        <f ca="1">IFERROR(INDEX(Roll!$C:$C, MATCH(T2, Roll!$B:$B, 0)), "")</f>
        <v/>
      </c>
      <c r="W2" t="str">
        <f ca="1">IF(V2&lt;&gt;"",IFERROR(MODE(V2:V4), V2), "")</f>
        <v/>
      </c>
      <c r="AB2" t="e" cm="1">
        <f t="array" aca="1" ref="AB2" ca="1">_xlfn.SORTBY(_xlfn.VSTACK(_xlfn.ANCHORARRAY(A2),_xlfn.ANCHORARRAY( C2),_xlfn.ANCHORARRAY( E2),_xlfn.ANCHORARRAY( G2),_xlfn.ANCHORARRAY( I2),_xlfn.ANCHORARRAY( K2)), INDEX(_xlfn.VSTACK(_xlfn.ANCHORARRAY(A2),_xlfn.ANCHORARRAY( C2),_xlfn.ANCHORARRAY( E2),_xlfn.ANCHORARRAY( G2),_xlfn.ANCHORARRAY( I2),_xlfn.ANCHORARRAY( K2)), , 2), -1)</f>
        <v>#REF!</v>
      </c>
    </row>
    <row r="3" spans="1:31" x14ac:dyDescent="0.3">
      <c r="M3" t="str">
        <f ca="1"/>
        <v/>
      </c>
      <c r="O3" t="str">
        <f ca="1">IFERROR(INDEX(Roll!$C:$C, MATCH(M3, Roll!$B:$B, 0)), "")</f>
        <v/>
      </c>
      <c r="P3" t="str">
        <f ca="1">IF(O3&lt;&gt;"",IFERROR(MODE(O2:O4), O2), "")</f>
        <v/>
      </c>
      <c r="T3" t="str">
        <f ca="1"/>
        <v/>
      </c>
      <c r="V3" t="str">
        <f ca="1">IFERROR(INDEX(Roll!$C:$C, MATCH(T3, Roll!$B:$B, 0)), "")</f>
        <v/>
      </c>
      <c r="W3" t="str">
        <f ca="1">IF(V3&lt;&gt;"",IFERROR(MODE(V2:V4), V2), "")</f>
        <v/>
      </c>
    </row>
    <row r="4" spans="1:31" x14ac:dyDescent="0.3">
      <c r="M4" t="str">
        <f ca="1"/>
        <v/>
      </c>
      <c r="O4" t="str">
        <f ca="1">IFERROR(INDEX(Roll!$C:$C, MATCH(M4, Roll!$B:$B, 0)), "")</f>
        <v/>
      </c>
      <c r="P4" t="str">
        <f ca="1">IF(O4&lt;&gt;"",IFERROR(MODE(O2:O4), O2), "")</f>
        <v/>
      </c>
      <c r="Q4" t="str">
        <f>IF(N4&lt;&gt;"", IF(MOD(ROW()-1, 3)=0, SUM(N2:N4), ""), "")</f>
        <v/>
      </c>
      <c r="R4" t="str">
        <f>IFERROR(IF(MOD(ROW()-1, 3)=0, Q4-X4, ""), "")</f>
        <v/>
      </c>
      <c r="S4" t="str">
        <f>IF(N4&lt;&gt;"", IF(MOD(ROW()-1, 3)=0, IF((R4&gt;0), 1, 0), ""), "")</f>
        <v/>
      </c>
      <c r="T4" t="str">
        <f ca="1"/>
        <v/>
      </c>
      <c r="V4" t="str">
        <f ca="1">IFERROR(INDEX(Roll!$C:$C, MATCH(T4, Roll!$B:$B, 0)), "")</f>
        <v/>
      </c>
      <c r="W4" t="str">
        <f ca="1">IF(V4&lt;&gt;"",IFERROR(MODE(V2:V4), V2), "")</f>
        <v/>
      </c>
      <c r="X4" t="str">
        <f>IF(U4&lt;&gt;"", IF(MOD(ROW()-1, 3)=0, SUM(U2:U4), ""), "")</f>
        <v/>
      </c>
      <c r="Y4" t="str">
        <f>IFERROR(IF(MOD(ROW()-1, 3)=0, X4-Q4, ""), "")</f>
        <v/>
      </c>
      <c r="Z4" t="str">
        <f>IF(U4&lt;&gt;"", IF(MOD(ROW()-1, 3)=0, IF((Y4&gt;0), 1, 0), ""), "")</f>
        <v/>
      </c>
    </row>
    <row r="5" spans="1:31" x14ac:dyDescent="0.3">
      <c r="O5" t="str">
        <f ca="1">IFERROR(INDEX(Roll!$C:$C, MATCH(M5, Roll!$B:$B, 0)), "")</f>
        <v/>
      </c>
      <c r="P5" t="str">
        <f ca="1">IF(O5&lt;&gt;"", IFERROR(MODE(O5:O7), O5), "")</f>
        <v/>
      </c>
      <c r="Q5" t="str">
        <f t="shared" ref="Q5:Q60" si="0">IF(N5&lt;&gt;"", IF(MOD(ROW()-1, 3)=0, SUM(N3:N5), ""), "")</f>
        <v/>
      </c>
      <c r="R5" t="str">
        <f t="shared" ref="R5:R60" si="1">IFERROR(IF(MOD(ROW()-1, 3)=0, Q5-X5, ""), "")</f>
        <v/>
      </c>
      <c r="S5" t="str">
        <f t="shared" ref="S5:S60" si="2">IF(N5&lt;&gt;"", IF(MOD(ROW()-1, 3)=0, IF((R5&gt;0), 1, 0), ""), "")</f>
        <v/>
      </c>
      <c r="V5" t="str">
        <f ca="1">IFERROR(INDEX(Roll!$C:$C, MATCH(T5, Roll!$B:$B, 0)), "")</f>
        <v/>
      </c>
      <c r="W5" t="str">
        <f ca="1">IF(V5&lt;&gt;"", IFERROR(MODE(V5:V7), V5), "")</f>
        <v/>
      </c>
      <c r="X5" t="str">
        <f t="shared" ref="X5:X60" si="3">IF(U5&lt;&gt;"", IF(MOD(ROW()-1, 3)=0, SUM(U3:U5), ""), "")</f>
        <v/>
      </c>
      <c r="Y5" t="str">
        <f t="shared" ref="Y5:Y60" si="4">IFERROR(IF(MOD(ROW()-1, 3)=0, X5-Q5, ""), "")</f>
        <v/>
      </c>
      <c r="Z5" t="str">
        <f t="shared" ref="Z5:Z60" si="5">IF(U5&lt;&gt;"", IF(MOD(ROW()-1, 3)=0, IF((Y5&gt;0), 1, 0), ""), "")</f>
        <v/>
      </c>
    </row>
    <row r="6" spans="1:31" x14ac:dyDescent="0.3">
      <c r="O6" t="str">
        <f ca="1">IFERROR(INDEX(Roll!$C:$C, MATCH(M6, Roll!$B:$B, 0)), "")</f>
        <v/>
      </c>
      <c r="P6" t="str">
        <f ca="1">IF(O6&lt;&gt;"", IFERROR(MODE(O5:O7), O5), "")</f>
        <v/>
      </c>
      <c r="Q6" t="str">
        <f t="shared" si="0"/>
        <v/>
      </c>
      <c r="R6" t="str">
        <f t="shared" si="1"/>
        <v/>
      </c>
      <c r="S6" t="str">
        <f t="shared" si="2"/>
        <v/>
      </c>
      <c r="V6" t="str">
        <f ca="1">IFERROR(INDEX(Roll!$C:$C, MATCH(T6, Roll!$B:$B, 0)), "")</f>
        <v/>
      </c>
      <c r="W6" t="str">
        <f ca="1">IF(V6&lt;&gt;"", IFERROR(MODE(V5:V7), V5), "")</f>
        <v/>
      </c>
      <c r="X6" t="str">
        <f t="shared" si="3"/>
        <v/>
      </c>
      <c r="Y6" t="str">
        <f t="shared" si="4"/>
        <v/>
      </c>
      <c r="Z6" t="str">
        <f t="shared" si="5"/>
        <v/>
      </c>
    </row>
    <row r="7" spans="1:31" x14ac:dyDescent="0.3">
      <c r="O7" t="str">
        <f ca="1">IFERROR(INDEX(Roll!$C:$C, MATCH(M7, Roll!$B:$B, 0)), "")</f>
        <v/>
      </c>
      <c r="P7" t="str">
        <f ca="1">IF(O7&lt;&gt;"", IFERROR(MODE(O5:O7), O5), "")</f>
        <v/>
      </c>
      <c r="Q7" t="str">
        <f t="shared" si="0"/>
        <v/>
      </c>
      <c r="R7" t="str">
        <f t="shared" si="1"/>
        <v/>
      </c>
      <c r="S7" t="str">
        <f t="shared" si="2"/>
        <v/>
      </c>
      <c r="V7" t="str">
        <f ca="1">IFERROR(INDEX(Roll!$C:$C, MATCH(T7, Roll!$B:$B, 0)), "")</f>
        <v/>
      </c>
      <c r="W7" t="str">
        <f ca="1">IF(V7&lt;&gt;"", IFERROR(MODE(V5:V7), V5), "")</f>
        <v/>
      </c>
      <c r="X7" t="str">
        <f t="shared" si="3"/>
        <v/>
      </c>
      <c r="Y7" t="str">
        <f t="shared" si="4"/>
        <v/>
      </c>
      <c r="Z7" t="str">
        <f t="shared" si="5"/>
        <v/>
      </c>
    </row>
    <row r="8" spans="1:31" x14ac:dyDescent="0.3">
      <c r="O8" t="str">
        <f ca="1">IFERROR(INDEX(Roll!$C:$C, MATCH(M8, Roll!$B:$B, 0)), "")</f>
        <v/>
      </c>
      <c r="P8" t="str">
        <f t="shared" ref="P8" ca="1" si="6">IF(O8&lt;&gt;"",IFERROR(MODE(O8:O10), O8), "")</f>
        <v/>
      </c>
      <c r="Q8" t="str">
        <f t="shared" si="0"/>
        <v/>
      </c>
      <c r="R8" t="str">
        <f t="shared" si="1"/>
        <v/>
      </c>
      <c r="S8" t="str">
        <f t="shared" si="2"/>
        <v/>
      </c>
      <c r="V8" t="str">
        <f ca="1">IFERROR(INDEX(Roll!$C:$C, MATCH(T8, Roll!$B:$B, 0)), "")</f>
        <v/>
      </c>
      <c r="W8" t="str">
        <f t="shared" ref="W8" ca="1" si="7">IF(V8&lt;&gt;"",IFERROR(MODE(V8:V10), V8), "")</f>
        <v/>
      </c>
      <c r="X8" t="str">
        <f t="shared" si="3"/>
        <v/>
      </c>
      <c r="Y8" t="str">
        <f t="shared" si="4"/>
        <v/>
      </c>
      <c r="Z8" t="str">
        <f t="shared" si="5"/>
        <v/>
      </c>
    </row>
    <row r="9" spans="1:31" x14ac:dyDescent="0.3">
      <c r="O9" t="str">
        <f ca="1">IFERROR(INDEX(Roll!$C:$C, MATCH(M9, Roll!$B:$B, 0)), "")</f>
        <v/>
      </c>
      <c r="P9" t="str">
        <f t="shared" ref="P9" ca="1" si="8">IF(O9&lt;&gt;"",IFERROR(MODE(O8:O10), O8), "")</f>
        <v/>
      </c>
      <c r="Q9" t="str">
        <f t="shared" si="0"/>
        <v/>
      </c>
      <c r="R9" t="str">
        <f t="shared" si="1"/>
        <v/>
      </c>
      <c r="S9" t="str">
        <f t="shared" si="2"/>
        <v/>
      </c>
      <c r="V9" t="str">
        <f ca="1">IFERROR(INDEX(Roll!$C:$C, MATCH(T9, Roll!$B:$B, 0)), "")</f>
        <v/>
      </c>
      <c r="W9" t="str">
        <f t="shared" ref="W9" ca="1" si="9">IF(V9&lt;&gt;"",IFERROR(MODE(V8:V10), V8), "")</f>
        <v/>
      </c>
      <c r="X9" t="str">
        <f t="shared" si="3"/>
        <v/>
      </c>
      <c r="Y9" t="str">
        <f t="shared" si="4"/>
        <v/>
      </c>
      <c r="Z9" t="str">
        <f t="shared" si="5"/>
        <v/>
      </c>
    </row>
    <row r="10" spans="1:31" x14ac:dyDescent="0.3">
      <c r="O10" t="str">
        <f ca="1">IFERROR(INDEX(Roll!$C:$C, MATCH(M10, Roll!$B:$B, 0)), "")</f>
        <v/>
      </c>
      <c r="P10" t="str">
        <f t="shared" ref="P10" ca="1" si="10">IF(O10&lt;&gt;"",IFERROR(MODE(O8:O10), O8), "")</f>
        <v/>
      </c>
      <c r="Q10" t="str">
        <f t="shared" si="0"/>
        <v/>
      </c>
      <c r="R10" t="str">
        <f t="shared" si="1"/>
        <v/>
      </c>
      <c r="S10" t="str">
        <f t="shared" si="2"/>
        <v/>
      </c>
      <c r="V10" t="str">
        <f ca="1">IFERROR(INDEX(Roll!$C:$C, MATCH(T10, Roll!$B:$B, 0)), "")</f>
        <v/>
      </c>
      <c r="W10" t="str">
        <f t="shared" ref="W10" ca="1" si="11">IF(V10&lt;&gt;"",IFERROR(MODE(V8:V10), V8), "")</f>
        <v/>
      </c>
      <c r="X10" t="str">
        <f t="shared" si="3"/>
        <v/>
      </c>
      <c r="Y10" t="str">
        <f t="shared" si="4"/>
        <v/>
      </c>
      <c r="Z10" t="str">
        <f t="shared" si="5"/>
        <v/>
      </c>
    </row>
    <row r="11" spans="1:31" x14ac:dyDescent="0.3">
      <c r="O11" t="str">
        <f ca="1">IFERROR(INDEX(Roll!$C:$C, MATCH(M11, Roll!$B:$B, 0)), "")</f>
        <v/>
      </c>
      <c r="P11" t="str">
        <f t="shared" ref="P11" ca="1" si="12">IF(O11&lt;&gt;"", IFERROR(MODE(O11:O13), O11), "")</f>
        <v/>
      </c>
      <c r="Q11" t="str">
        <f t="shared" si="0"/>
        <v/>
      </c>
      <c r="R11" t="str">
        <f t="shared" si="1"/>
        <v/>
      </c>
      <c r="S11" t="str">
        <f t="shared" si="2"/>
        <v/>
      </c>
      <c r="V11" t="str">
        <f ca="1">IFERROR(INDEX(Roll!$C:$C, MATCH(T11, Roll!$B:$B, 0)), "")</f>
        <v/>
      </c>
      <c r="W11" t="str">
        <f t="shared" ref="W11" ca="1" si="13">IF(V11&lt;&gt;"", IFERROR(MODE(V11:V13), V11), "")</f>
        <v/>
      </c>
      <c r="X11" t="str">
        <f t="shared" si="3"/>
        <v/>
      </c>
      <c r="Y11" t="str">
        <f t="shared" si="4"/>
        <v/>
      </c>
      <c r="Z11" t="str">
        <f t="shared" si="5"/>
        <v/>
      </c>
    </row>
    <row r="12" spans="1:31" x14ac:dyDescent="0.3">
      <c r="O12" t="str">
        <f ca="1">IFERROR(INDEX(Roll!$C:$C, MATCH(M12, Roll!$B:$B, 0)), "")</f>
        <v/>
      </c>
      <c r="P12" t="str">
        <f t="shared" ref="P12" ca="1" si="14">IF(O12&lt;&gt;"", IFERROR(MODE(O11:O13), O11), "")</f>
        <v/>
      </c>
      <c r="Q12" t="str">
        <f t="shared" si="0"/>
        <v/>
      </c>
      <c r="R12" t="str">
        <f t="shared" si="1"/>
        <v/>
      </c>
      <c r="S12" t="str">
        <f t="shared" si="2"/>
        <v/>
      </c>
      <c r="V12" t="str">
        <f ca="1">IFERROR(INDEX(Roll!$C:$C, MATCH(T12, Roll!$B:$B, 0)), "")</f>
        <v/>
      </c>
      <c r="W12" t="str">
        <f t="shared" ref="W12" ca="1" si="15">IF(V12&lt;&gt;"", IFERROR(MODE(V11:V13), V11), "")</f>
        <v/>
      </c>
      <c r="X12" t="str">
        <f t="shared" si="3"/>
        <v/>
      </c>
      <c r="Y12" t="str">
        <f t="shared" si="4"/>
        <v/>
      </c>
      <c r="Z12" t="str">
        <f t="shared" si="5"/>
        <v/>
      </c>
    </row>
    <row r="13" spans="1:31" x14ac:dyDescent="0.3">
      <c r="O13" t="str">
        <f ca="1">IFERROR(INDEX(Roll!$C:$C, MATCH(M13, Roll!$B:$B, 0)), "")</f>
        <v/>
      </c>
      <c r="P13" t="str">
        <f t="shared" ref="P13" ca="1" si="16">IF(O13&lt;&gt;"", IFERROR(MODE(O11:O13), O11), "")</f>
        <v/>
      </c>
      <c r="Q13" t="str">
        <f t="shared" si="0"/>
        <v/>
      </c>
      <c r="R13" t="str">
        <f t="shared" si="1"/>
        <v/>
      </c>
      <c r="S13" t="str">
        <f t="shared" si="2"/>
        <v/>
      </c>
      <c r="V13" t="str">
        <f ca="1">IFERROR(INDEX(Roll!$C:$C, MATCH(T13, Roll!$B:$B, 0)), "")</f>
        <v/>
      </c>
      <c r="W13" t="str">
        <f t="shared" ref="W13" ca="1" si="17">IF(V13&lt;&gt;"", IFERROR(MODE(V11:V13), V11), "")</f>
        <v/>
      </c>
      <c r="X13" t="str">
        <f t="shared" si="3"/>
        <v/>
      </c>
      <c r="Y13" t="str">
        <f t="shared" si="4"/>
        <v/>
      </c>
      <c r="Z13" t="str">
        <f t="shared" si="5"/>
        <v/>
      </c>
    </row>
    <row r="14" spans="1:31" x14ac:dyDescent="0.3">
      <c r="O14" t="str">
        <f ca="1">IFERROR(INDEX(Roll!$C:$C, MATCH(M14, Roll!$B:$B, 0)), "")</f>
        <v/>
      </c>
      <c r="P14" t="str">
        <f t="shared" ref="P14" ca="1" si="18">IF(O14&lt;&gt;"",IFERROR(MODE(O14:O16), O14), "")</f>
        <v/>
      </c>
      <c r="Q14" t="str">
        <f t="shared" si="0"/>
        <v/>
      </c>
      <c r="R14" t="str">
        <f t="shared" si="1"/>
        <v/>
      </c>
      <c r="S14" t="str">
        <f t="shared" si="2"/>
        <v/>
      </c>
      <c r="V14" t="str">
        <f ca="1">IFERROR(INDEX(Roll!$C:$C, MATCH(T14, Roll!$B:$B, 0)), "")</f>
        <v/>
      </c>
      <c r="W14" t="str">
        <f t="shared" ref="W14" ca="1" si="19">IF(V14&lt;&gt;"",IFERROR(MODE(V14:V16), V14), "")</f>
        <v/>
      </c>
      <c r="X14" t="str">
        <f t="shared" si="3"/>
        <v/>
      </c>
      <c r="Y14" t="str">
        <f t="shared" si="4"/>
        <v/>
      </c>
      <c r="Z14" t="str">
        <f t="shared" si="5"/>
        <v/>
      </c>
    </row>
    <row r="15" spans="1:31" x14ac:dyDescent="0.3">
      <c r="O15" t="str">
        <f ca="1">IFERROR(INDEX(Roll!$C:$C, MATCH(M15, Roll!$B:$B, 0)), "")</f>
        <v/>
      </c>
      <c r="P15" t="str">
        <f t="shared" ref="P15" ca="1" si="20">IF(O15&lt;&gt;"",IFERROR(MODE(O14:O16), O14), "")</f>
        <v/>
      </c>
      <c r="Q15" t="str">
        <f t="shared" si="0"/>
        <v/>
      </c>
      <c r="R15" t="str">
        <f t="shared" si="1"/>
        <v/>
      </c>
      <c r="S15" t="str">
        <f t="shared" si="2"/>
        <v/>
      </c>
      <c r="V15" t="str">
        <f ca="1">IFERROR(INDEX(Roll!$C:$C, MATCH(T15, Roll!$B:$B, 0)), "")</f>
        <v/>
      </c>
      <c r="W15" t="str">
        <f t="shared" ref="W15" ca="1" si="21">IF(V15&lt;&gt;"",IFERROR(MODE(V14:V16), V14), "")</f>
        <v/>
      </c>
      <c r="X15" t="str">
        <f t="shared" si="3"/>
        <v/>
      </c>
      <c r="Y15" t="str">
        <f t="shared" si="4"/>
        <v/>
      </c>
      <c r="Z15" t="str">
        <f t="shared" si="5"/>
        <v/>
      </c>
    </row>
    <row r="16" spans="1:31" x14ac:dyDescent="0.3">
      <c r="O16" t="str">
        <f ca="1">IFERROR(INDEX(Roll!$C:$C, MATCH(M16, Roll!$B:$B, 0)), "")</f>
        <v/>
      </c>
      <c r="P16" t="str">
        <f t="shared" ref="P16" ca="1" si="22">IF(O16&lt;&gt;"",IFERROR(MODE(O14:O16), O14), "")</f>
        <v/>
      </c>
      <c r="Q16" t="str">
        <f t="shared" si="0"/>
        <v/>
      </c>
      <c r="R16" t="str">
        <f t="shared" si="1"/>
        <v/>
      </c>
      <c r="S16" t="str">
        <f t="shared" si="2"/>
        <v/>
      </c>
      <c r="V16" t="str">
        <f ca="1">IFERROR(INDEX(Roll!$C:$C, MATCH(T16, Roll!$B:$B, 0)), "")</f>
        <v/>
      </c>
      <c r="W16" t="str">
        <f t="shared" ref="W16" ca="1" si="23">IF(V16&lt;&gt;"",IFERROR(MODE(V14:V16), V14), "")</f>
        <v/>
      </c>
      <c r="X16" t="str">
        <f t="shared" si="3"/>
        <v/>
      </c>
      <c r="Y16" t="str">
        <f t="shared" si="4"/>
        <v/>
      </c>
      <c r="Z16" t="str">
        <f t="shared" si="5"/>
        <v/>
      </c>
    </row>
    <row r="17" spans="15:26" x14ac:dyDescent="0.3">
      <c r="O17" t="str">
        <f ca="1">IFERROR(INDEX(Roll!$C:$C, MATCH(M17, Roll!$B:$B, 0)), "")</f>
        <v/>
      </c>
      <c r="P17" t="str">
        <f t="shared" ref="P17" ca="1" si="24">IF(O17&lt;&gt;"", IFERROR(MODE(O17:O19), O17), "")</f>
        <v/>
      </c>
      <c r="Q17" t="str">
        <f t="shared" si="0"/>
        <v/>
      </c>
      <c r="R17" t="str">
        <f t="shared" si="1"/>
        <v/>
      </c>
      <c r="S17" t="str">
        <f t="shared" si="2"/>
        <v/>
      </c>
      <c r="V17" t="str">
        <f ca="1">IFERROR(INDEX(Roll!$C:$C, MATCH(T17, Roll!$B:$B, 0)), "")</f>
        <v/>
      </c>
      <c r="W17" t="str">
        <f t="shared" ref="W17" ca="1" si="25">IF(V17&lt;&gt;"", IFERROR(MODE(V17:V19), V17), "")</f>
        <v/>
      </c>
      <c r="X17" t="str">
        <f t="shared" si="3"/>
        <v/>
      </c>
      <c r="Y17" t="str">
        <f t="shared" si="4"/>
        <v/>
      </c>
      <c r="Z17" t="str">
        <f t="shared" si="5"/>
        <v/>
      </c>
    </row>
    <row r="18" spans="15:26" x14ac:dyDescent="0.3">
      <c r="O18" t="str">
        <f ca="1">IFERROR(INDEX(Roll!$C:$C, MATCH(M18, Roll!$B:$B, 0)), "")</f>
        <v/>
      </c>
      <c r="P18" t="str">
        <f t="shared" ref="P18" ca="1" si="26">IF(O18&lt;&gt;"", IFERROR(MODE(O17:O19), O17), "")</f>
        <v/>
      </c>
      <c r="Q18" t="str">
        <f t="shared" si="0"/>
        <v/>
      </c>
      <c r="R18" t="str">
        <f t="shared" si="1"/>
        <v/>
      </c>
      <c r="S18" t="str">
        <f t="shared" si="2"/>
        <v/>
      </c>
      <c r="V18" t="str">
        <f ca="1">IFERROR(INDEX(Roll!$C:$C, MATCH(T18, Roll!$B:$B, 0)), "")</f>
        <v/>
      </c>
      <c r="W18" t="str">
        <f t="shared" ref="W18" ca="1" si="27">IF(V18&lt;&gt;"", IFERROR(MODE(V17:V19), V17), "")</f>
        <v/>
      </c>
      <c r="X18" t="str">
        <f t="shared" si="3"/>
        <v/>
      </c>
      <c r="Y18" t="str">
        <f t="shared" si="4"/>
        <v/>
      </c>
      <c r="Z18" t="str">
        <f t="shared" si="5"/>
        <v/>
      </c>
    </row>
    <row r="19" spans="15:26" x14ac:dyDescent="0.3">
      <c r="O19" t="str">
        <f ca="1">IFERROR(INDEX(Roll!$C:$C, MATCH(M19, Roll!$B:$B, 0)), "")</f>
        <v/>
      </c>
      <c r="P19" t="str">
        <f t="shared" ref="P19" ca="1" si="28">IF(O19&lt;&gt;"", IFERROR(MODE(O17:O19), O17), "")</f>
        <v/>
      </c>
      <c r="Q19" t="str">
        <f t="shared" si="0"/>
        <v/>
      </c>
      <c r="R19" t="str">
        <f t="shared" si="1"/>
        <v/>
      </c>
      <c r="S19" t="str">
        <f t="shared" si="2"/>
        <v/>
      </c>
      <c r="V19" t="str">
        <f ca="1">IFERROR(INDEX(Roll!$C:$C, MATCH(T19, Roll!$B:$B, 0)), "")</f>
        <v/>
      </c>
      <c r="W19" t="str">
        <f t="shared" ref="W19" ca="1" si="29">IF(V19&lt;&gt;"", IFERROR(MODE(V17:V19), V17), "")</f>
        <v/>
      </c>
      <c r="X19" t="str">
        <f t="shared" si="3"/>
        <v/>
      </c>
      <c r="Y19" t="str">
        <f t="shared" si="4"/>
        <v/>
      </c>
      <c r="Z19" t="str">
        <f t="shared" si="5"/>
        <v/>
      </c>
    </row>
    <row r="20" spans="15:26" x14ac:dyDescent="0.3">
      <c r="O20" t="str">
        <f ca="1">IFERROR(INDEX(Roll!$C:$C, MATCH(M20, Roll!$B:$B, 0)), "")</f>
        <v/>
      </c>
      <c r="P20" t="str">
        <f t="shared" ref="P20" ca="1" si="30">IF(O20&lt;&gt;"",IFERROR(MODE(O20:O22), O20), "")</f>
        <v/>
      </c>
      <c r="Q20" t="str">
        <f t="shared" si="0"/>
        <v/>
      </c>
      <c r="R20" t="str">
        <f t="shared" si="1"/>
        <v/>
      </c>
      <c r="S20" t="str">
        <f t="shared" si="2"/>
        <v/>
      </c>
      <c r="V20" t="str">
        <f ca="1">IFERROR(INDEX(Roll!$C:$C, MATCH(T20, Roll!$B:$B, 0)), "")</f>
        <v/>
      </c>
      <c r="W20" t="str">
        <f t="shared" ref="W20:W56" ca="1" si="31">IF(V20&lt;&gt;"",IFERROR(MODE(V20:V22), V20), "")</f>
        <v/>
      </c>
      <c r="X20" t="str">
        <f t="shared" si="3"/>
        <v/>
      </c>
      <c r="Y20" t="str">
        <f t="shared" si="4"/>
        <v/>
      </c>
      <c r="Z20" t="str">
        <f t="shared" si="5"/>
        <v/>
      </c>
    </row>
    <row r="21" spans="15:26" x14ac:dyDescent="0.3">
      <c r="O21" t="str">
        <f ca="1">IFERROR(INDEX(Roll!$C:$C, MATCH(M21, Roll!$B:$B, 0)), "")</f>
        <v/>
      </c>
      <c r="P21" t="str">
        <f t="shared" ref="P21" ca="1" si="32">IF(O21&lt;&gt;"",IFERROR(MODE(O20:O22), O20), "")</f>
        <v/>
      </c>
      <c r="Q21" t="str">
        <f t="shared" si="0"/>
        <v/>
      </c>
      <c r="R21" t="str">
        <f t="shared" si="1"/>
        <v/>
      </c>
      <c r="S21" t="str">
        <f t="shared" si="2"/>
        <v/>
      </c>
      <c r="V21" t="str">
        <f ca="1">IFERROR(INDEX(Roll!$C:$C, MATCH(T21, Roll!$B:$B, 0)), "")</f>
        <v/>
      </c>
      <c r="W21" t="str">
        <f t="shared" ref="W21:W57" ca="1" si="33">IF(V21&lt;&gt;"",IFERROR(MODE(V20:V22), V20), "")</f>
        <v/>
      </c>
      <c r="X21" t="str">
        <f t="shared" si="3"/>
        <v/>
      </c>
      <c r="Y21" t="str">
        <f t="shared" si="4"/>
        <v/>
      </c>
      <c r="Z21" t="str">
        <f t="shared" si="5"/>
        <v/>
      </c>
    </row>
    <row r="22" spans="15:26" x14ac:dyDescent="0.3">
      <c r="O22" t="str">
        <f ca="1">IFERROR(INDEX(Roll!$C:$C, MATCH(M22, Roll!$B:$B, 0)), "")</f>
        <v/>
      </c>
      <c r="P22" t="str">
        <f t="shared" ref="P22" ca="1" si="34">IF(O22&lt;&gt;"",IFERROR(MODE(O20:O22), O20), "")</f>
        <v/>
      </c>
      <c r="Q22" t="str">
        <f t="shared" si="0"/>
        <v/>
      </c>
      <c r="R22" t="str">
        <f t="shared" si="1"/>
        <v/>
      </c>
      <c r="S22" t="str">
        <f t="shared" si="2"/>
        <v/>
      </c>
      <c r="V22" t="str">
        <f ca="1">IFERROR(INDEX(Roll!$C:$C, MATCH(T22, Roll!$B:$B, 0)), "")</f>
        <v/>
      </c>
      <c r="W22" t="str">
        <f t="shared" ref="W22:W58" ca="1" si="35">IF(V22&lt;&gt;"",IFERROR(MODE(V20:V22), V20), "")</f>
        <v/>
      </c>
      <c r="X22" t="str">
        <f t="shared" si="3"/>
        <v/>
      </c>
      <c r="Y22" t="str">
        <f t="shared" si="4"/>
        <v/>
      </c>
      <c r="Z22" t="str">
        <f t="shared" si="5"/>
        <v/>
      </c>
    </row>
    <row r="23" spans="15:26" x14ac:dyDescent="0.3">
      <c r="O23" t="str">
        <f ca="1">IFERROR(INDEX(Roll!$C:$C, MATCH(M23, Roll!$B:$B, 0)), "")</f>
        <v/>
      </c>
      <c r="P23" t="str">
        <f t="shared" ref="P23" ca="1" si="36">IF(O23&lt;&gt;"", IFERROR(MODE(O23:O25), O23), "")</f>
        <v/>
      </c>
      <c r="Q23" t="str">
        <f t="shared" si="0"/>
        <v/>
      </c>
      <c r="R23" t="str">
        <f t="shared" si="1"/>
        <v/>
      </c>
      <c r="S23" t="str">
        <f t="shared" si="2"/>
        <v/>
      </c>
      <c r="V23" t="str">
        <f ca="1">IFERROR(INDEX(Roll!$C:$C, MATCH(T23, Roll!$B:$B, 0)), "")</f>
        <v/>
      </c>
      <c r="W23" t="str">
        <f t="shared" ref="W23:W59" ca="1" si="37">IF(V23&lt;&gt;"", IFERROR(MODE(V23:V25), V23), "")</f>
        <v/>
      </c>
      <c r="X23" t="str">
        <f t="shared" si="3"/>
        <v/>
      </c>
      <c r="Y23" t="str">
        <f t="shared" si="4"/>
        <v/>
      </c>
      <c r="Z23" t="str">
        <f t="shared" si="5"/>
        <v/>
      </c>
    </row>
    <row r="24" spans="15:26" x14ac:dyDescent="0.3">
      <c r="O24" t="str">
        <f ca="1">IFERROR(INDEX(Roll!$C:$C, MATCH(M24, Roll!$B:$B, 0)), "")</f>
        <v/>
      </c>
      <c r="P24" t="str">
        <f t="shared" ref="P24" ca="1" si="38">IF(O24&lt;&gt;"", IFERROR(MODE(O23:O25), O23), "")</f>
        <v/>
      </c>
      <c r="Q24" t="str">
        <f t="shared" si="0"/>
        <v/>
      </c>
      <c r="R24" t="str">
        <f t="shared" si="1"/>
        <v/>
      </c>
      <c r="S24" t="str">
        <f t="shared" si="2"/>
        <v/>
      </c>
      <c r="V24" t="str">
        <f ca="1">IFERROR(INDEX(Roll!$C:$C, MATCH(T24, Roll!$B:$B, 0)), "")</f>
        <v/>
      </c>
      <c r="W24" t="str">
        <f t="shared" ref="W24:W60" ca="1" si="39">IF(V24&lt;&gt;"", IFERROR(MODE(V23:V25), V23), "")</f>
        <v/>
      </c>
      <c r="X24" t="str">
        <f t="shared" si="3"/>
        <v/>
      </c>
      <c r="Y24" t="str">
        <f t="shared" si="4"/>
        <v/>
      </c>
      <c r="Z24" t="str">
        <f t="shared" si="5"/>
        <v/>
      </c>
    </row>
    <row r="25" spans="15:26" x14ac:dyDescent="0.3">
      <c r="O25" t="str">
        <f ca="1">IFERROR(INDEX(Roll!$C:$C, MATCH(M25, Roll!$B:$B, 0)), "")</f>
        <v/>
      </c>
      <c r="P25" t="str">
        <f t="shared" ref="P25" ca="1" si="40">IF(O25&lt;&gt;"", IFERROR(MODE(O23:O25), O23), "")</f>
        <v/>
      </c>
      <c r="Q25" t="str">
        <f t="shared" si="0"/>
        <v/>
      </c>
      <c r="R25" t="str">
        <f t="shared" si="1"/>
        <v/>
      </c>
      <c r="S25" t="str">
        <f t="shared" si="2"/>
        <v/>
      </c>
      <c r="V25" t="str">
        <f ca="1">IFERROR(INDEX(Roll!$C:$C, MATCH(T25, Roll!$B:$B, 0)), "")</f>
        <v/>
      </c>
      <c r="W25" t="str">
        <f t="shared" ref="W25:W49" ca="1" si="41">IF(V25&lt;&gt;"", IFERROR(MODE(V23:V25), V23), "")</f>
        <v/>
      </c>
      <c r="X25" t="str">
        <f t="shared" si="3"/>
        <v/>
      </c>
      <c r="Y25" t="str">
        <f t="shared" si="4"/>
        <v/>
      </c>
      <c r="Z25" t="str">
        <f t="shared" si="5"/>
        <v/>
      </c>
    </row>
    <row r="26" spans="15:26" x14ac:dyDescent="0.3">
      <c r="O26" t="str">
        <f ca="1">IFERROR(INDEX(Roll!$C:$C, MATCH(M26, Roll!$B:$B, 0)), "")</f>
        <v/>
      </c>
      <c r="P26" t="str">
        <f t="shared" ref="P26" ca="1" si="42">IF(O26&lt;&gt;"",IFERROR(MODE(O26:O28), O26), "")</f>
        <v/>
      </c>
      <c r="Q26" t="str">
        <f t="shared" si="0"/>
        <v/>
      </c>
      <c r="R26" t="str">
        <f t="shared" si="1"/>
        <v/>
      </c>
      <c r="S26" t="str">
        <f t="shared" si="2"/>
        <v/>
      </c>
      <c r="V26" t="str">
        <f ca="1">IFERROR(INDEX(Roll!$C:$C, MATCH(T26, Roll!$B:$B, 0)), "")</f>
        <v/>
      </c>
      <c r="W26" t="str">
        <f t="shared" ref="W26" ca="1" si="43">IF(V26&lt;&gt;"",IFERROR(MODE(V26:V28), V26), "")</f>
        <v/>
      </c>
      <c r="X26" t="str">
        <f t="shared" si="3"/>
        <v/>
      </c>
      <c r="Y26" t="str">
        <f t="shared" si="4"/>
        <v/>
      </c>
      <c r="Z26" t="str">
        <f t="shared" si="5"/>
        <v/>
      </c>
    </row>
    <row r="27" spans="15:26" x14ac:dyDescent="0.3">
      <c r="O27" t="str">
        <f ca="1">IFERROR(INDEX(Roll!$C:$C, MATCH(M27, Roll!$B:$B, 0)), "")</f>
        <v/>
      </c>
      <c r="P27" t="str">
        <f t="shared" ref="P27" ca="1" si="44">IF(O27&lt;&gt;"",IFERROR(MODE(O26:O28), O26), "")</f>
        <v/>
      </c>
      <c r="Q27" t="str">
        <f t="shared" si="0"/>
        <v/>
      </c>
      <c r="R27" t="str">
        <f t="shared" si="1"/>
        <v/>
      </c>
      <c r="S27" t="str">
        <f t="shared" si="2"/>
        <v/>
      </c>
      <c r="V27" t="str">
        <f ca="1">IFERROR(INDEX(Roll!$C:$C, MATCH(T27, Roll!$B:$B, 0)), "")</f>
        <v/>
      </c>
      <c r="W27" t="str">
        <f t="shared" ref="W27" ca="1" si="45">IF(V27&lt;&gt;"",IFERROR(MODE(V26:V28), V26), "")</f>
        <v/>
      </c>
      <c r="X27" t="str">
        <f t="shared" si="3"/>
        <v/>
      </c>
      <c r="Y27" t="str">
        <f t="shared" si="4"/>
        <v/>
      </c>
      <c r="Z27" t="str">
        <f t="shared" si="5"/>
        <v/>
      </c>
    </row>
    <row r="28" spans="15:26" x14ac:dyDescent="0.3">
      <c r="O28" t="str">
        <f ca="1">IFERROR(INDEX(Roll!$C:$C, MATCH(M28, Roll!$B:$B, 0)), "")</f>
        <v/>
      </c>
      <c r="P28" t="str">
        <f t="shared" ref="P28" ca="1" si="46">IF(O28&lt;&gt;"",IFERROR(MODE(O26:O28), O26), "")</f>
        <v/>
      </c>
      <c r="Q28" t="str">
        <f t="shared" si="0"/>
        <v/>
      </c>
      <c r="R28" t="str">
        <f t="shared" si="1"/>
        <v/>
      </c>
      <c r="S28" t="str">
        <f t="shared" si="2"/>
        <v/>
      </c>
      <c r="V28" t="str">
        <f ca="1">IFERROR(INDEX(Roll!$C:$C, MATCH(T28, Roll!$B:$B, 0)), "")</f>
        <v/>
      </c>
      <c r="W28" t="str">
        <f t="shared" ref="W28" ca="1" si="47">IF(V28&lt;&gt;"",IFERROR(MODE(V26:V28), V26), "")</f>
        <v/>
      </c>
      <c r="X28" t="str">
        <f t="shared" si="3"/>
        <v/>
      </c>
      <c r="Y28" t="str">
        <f t="shared" si="4"/>
        <v/>
      </c>
      <c r="Z28" t="str">
        <f t="shared" si="5"/>
        <v/>
      </c>
    </row>
    <row r="29" spans="15:26" x14ac:dyDescent="0.3">
      <c r="O29" t="str">
        <f ca="1">IFERROR(INDEX(Roll!$C:$C, MATCH(M29, Roll!$B:$B, 0)), "")</f>
        <v/>
      </c>
      <c r="P29" t="str">
        <f t="shared" ref="P29" ca="1" si="48">IF(O29&lt;&gt;"", IFERROR(MODE(O29:O31), O29), "")</f>
        <v/>
      </c>
      <c r="Q29" t="str">
        <f t="shared" si="0"/>
        <v/>
      </c>
      <c r="R29" t="str">
        <f t="shared" si="1"/>
        <v/>
      </c>
      <c r="S29" t="str">
        <f t="shared" si="2"/>
        <v/>
      </c>
      <c r="V29" t="str">
        <f ca="1">IFERROR(INDEX(Roll!$C:$C, MATCH(T29, Roll!$B:$B, 0)), "")</f>
        <v/>
      </c>
      <c r="W29" t="str">
        <f t="shared" ref="W29" ca="1" si="49">IF(V29&lt;&gt;"", IFERROR(MODE(V29:V31), V29), "")</f>
        <v/>
      </c>
      <c r="X29" t="str">
        <f t="shared" si="3"/>
        <v/>
      </c>
      <c r="Y29" t="str">
        <f t="shared" si="4"/>
        <v/>
      </c>
      <c r="Z29" t="str">
        <f t="shared" si="5"/>
        <v/>
      </c>
    </row>
    <row r="30" spans="15:26" x14ac:dyDescent="0.3">
      <c r="O30" t="str">
        <f ca="1">IFERROR(INDEX(Roll!$C:$C, MATCH(M30, Roll!$B:$B, 0)), "")</f>
        <v/>
      </c>
      <c r="P30" t="str">
        <f t="shared" ref="P30" ca="1" si="50">IF(O30&lt;&gt;"", IFERROR(MODE(O29:O31), O29), "")</f>
        <v/>
      </c>
      <c r="Q30" t="str">
        <f t="shared" si="0"/>
        <v/>
      </c>
      <c r="R30" t="str">
        <f t="shared" si="1"/>
        <v/>
      </c>
      <c r="S30" t="str">
        <f t="shared" si="2"/>
        <v/>
      </c>
      <c r="V30" t="str">
        <f ca="1">IFERROR(INDEX(Roll!$C:$C, MATCH(T30, Roll!$B:$B, 0)), "")</f>
        <v/>
      </c>
      <c r="W30" t="str">
        <f t="shared" ref="W30" ca="1" si="51">IF(V30&lt;&gt;"", IFERROR(MODE(V29:V31), V29), "")</f>
        <v/>
      </c>
      <c r="X30" t="str">
        <f t="shared" si="3"/>
        <v/>
      </c>
      <c r="Y30" t="str">
        <f t="shared" si="4"/>
        <v/>
      </c>
      <c r="Z30" t="str">
        <f t="shared" si="5"/>
        <v/>
      </c>
    </row>
    <row r="31" spans="15:26" x14ac:dyDescent="0.3">
      <c r="O31" t="str">
        <f ca="1">IFERROR(INDEX(Roll!$C:$C, MATCH(M31, Roll!$B:$B, 0)), "")</f>
        <v/>
      </c>
      <c r="P31" t="str">
        <f t="shared" ref="P31" ca="1" si="52">IF(O31&lt;&gt;"", IFERROR(MODE(O29:O31), O29), "")</f>
        <v/>
      </c>
      <c r="Q31" t="str">
        <f t="shared" si="0"/>
        <v/>
      </c>
      <c r="R31" t="str">
        <f t="shared" si="1"/>
        <v/>
      </c>
      <c r="S31" t="str">
        <f t="shared" si="2"/>
        <v/>
      </c>
      <c r="V31" t="str">
        <f ca="1">IFERROR(INDEX(Roll!$C:$C, MATCH(T31, Roll!$B:$B, 0)), "")</f>
        <v/>
      </c>
      <c r="W31" t="str">
        <f t="shared" ref="W31" ca="1" si="53">IF(V31&lt;&gt;"", IFERROR(MODE(V29:V31), V29), "")</f>
        <v/>
      </c>
      <c r="X31" t="str">
        <f t="shared" si="3"/>
        <v/>
      </c>
      <c r="Y31" t="str">
        <f t="shared" si="4"/>
        <v/>
      </c>
      <c r="Z31" t="str">
        <f t="shared" si="5"/>
        <v/>
      </c>
    </row>
    <row r="32" spans="15:26" x14ac:dyDescent="0.3">
      <c r="O32" t="str">
        <f ca="1">IFERROR(INDEX(Roll!$C:$C, MATCH(M32, Roll!$B:$B, 0)), "")</f>
        <v/>
      </c>
      <c r="P32" t="str">
        <f t="shared" ref="P32" ca="1" si="54">IF(O32&lt;&gt;"",IFERROR(MODE(O32:O34), O32), "")</f>
        <v/>
      </c>
      <c r="Q32" t="str">
        <f t="shared" si="0"/>
        <v/>
      </c>
      <c r="R32" t="str">
        <f t="shared" si="1"/>
        <v/>
      </c>
      <c r="S32" t="str">
        <f t="shared" si="2"/>
        <v/>
      </c>
      <c r="V32" t="str">
        <f ca="1">IFERROR(INDEX(Roll!$C:$C, MATCH(T32, Roll!$B:$B, 0)), "")</f>
        <v/>
      </c>
      <c r="W32" t="str">
        <f t="shared" ca="1" si="31"/>
        <v/>
      </c>
      <c r="X32" t="str">
        <f t="shared" si="3"/>
        <v/>
      </c>
      <c r="Y32" t="str">
        <f t="shared" si="4"/>
        <v/>
      </c>
      <c r="Z32" t="str">
        <f t="shared" si="5"/>
        <v/>
      </c>
    </row>
    <row r="33" spans="15:26" x14ac:dyDescent="0.3">
      <c r="O33" t="str">
        <f ca="1">IFERROR(INDEX(Roll!$C:$C, MATCH(M33, Roll!$B:$B, 0)), "")</f>
        <v/>
      </c>
      <c r="P33" t="str">
        <f t="shared" ref="P33" ca="1" si="55">IF(O33&lt;&gt;"",IFERROR(MODE(O32:O34), O32), "")</f>
        <v/>
      </c>
      <c r="Q33" t="str">
        <f t="shared" si="0"/>
        <v/>
      </c>
      <c r="R33" t="str">
        <f t="shared" si="1"/>
        <v/>
      </c>
      <c r="S33" t="str">
        <f t="shared" si="2"/>
        <v/>
      </c>
      <c r="V33" t="str">
        <f ca="1">IFERROR(INDEX(Roll!$C:$C, MATCH(T33, Roll!$B:$B, 0)), "")</f>
        <v/>
      </c>
      <c r="W33" t="str">
        <f t="shared" ca="1" si="33"/>
        <v/>
      </c>
      <c r="X33" t="str">
        <f t="shared" si="3"/>
        <v/>
      </c>
      <c r="Y33" t="str">
        <f t="shared" si="4"/>
        <v/>
      </c>
      <c r="Z33" t="str">
        <f t="shared" si="5"/>
        <v/>
      </c>
    </row>
    <row r="34" spans="15:26" x14ac:dyDescent="0.3">
      <c r="O34" t="str">
        <f ca="1">IFERROR(INDEX(Roll!$C:$C, MATCH(M34, Roll!$B:$B, 0)), "")</f>
        <v/>
      </c>
      <c r="P34" t="str">
        <f t="shared" ref="P34" ca="1" si="56">IF(O34&lt;&gt;"",IFERROR(MODE(O32:O34), O32), "")</f>
        <v/>
      </c>
      <c r="Q34" t="str">
        <f t="shared" si="0"/>
        <v/>
      </c>
      <c r="R34" t="str">
        <f t="shared" si="1"/>
        <v/>
      </c>
      <c r="S34" t="str">
        <f t="shared" si="2"/>
        <v/>
      </c>
      <c r="V34" t="str">
        <f ca="1">IFERROR(INDEX(Roll!$C:$C, MATCH(T34, Roll!$B:$B, 0)), "")</f>
        <v/>
      </c>
      <c r="W34" t="str">
        <f t="shared" ca="1" si="35"/>
        <v/>
      </c>
      <c r="X34" t="str">
        <f t="shared" si="3"/>
        <v/>
      </c>
      <c r="Y34" t="str">
        <f t="shared" si="4"/>
        <v/>
      </c>
      <c r="Z34" t="str">
        <f t="shared" si="5"/>
        <v/>
      </c>
    </row>
    <row r="35" spans="15:26" x14ac:dyDescent="0.3">
      <c r="O35" t="str">
        <f ca="1">IFERROR(INDEX(Roll!$C:$C, MATCH(M35, Roll!$B:$B, 0)), "")</f>
        <v/>
      </c>
      <c r="P35" t="str">
        <f t="shared" ref="P35" ca="1" si="57">IF(O35&lt;&gt;"", IFERROR(MODE(O35:O37), O35), "")</f>
        <v/>
      </c>
      <c r="Q35" t="str">
        <f t="shared" si="0"/>
        <v/>
      </c>
      <c r="R35" t="str">
        <f t="shared" si="1"/>
        <v/>
      </c>
      <c r="S35" t="str">
        <f t="shared" si="2"/>
        <v/>
      </c>
      <c r="V35" t="str">
        <f ca="1">IFERROR(INDEX(Roll!$C:$C, MATCH(T35, Roll!$B:$B, 0)), "")</f>
        <v/>
      </c>
      <c r="W35" t="str">
        <f t="shared" ca="1" si="37"/>
        <v/>
      </c>
      <c r="X35" t="str">
        <f t="shared" si="3"/>
        <v/>
      </c>
      <c r="Y35" t="str">
        <f t="shared" si="4"/>
        <v/>
      </c>
      <c r="Z35" t="str">
        <f t="shared" si="5"/>
        <v/>
      </c>
    </row>
    <row r="36" spans="15:26" x14ac:dyDescent="0.3">
      <c r="O36" t="str">
        <f ca="1">IFERROR(INDEX(Roll!$C:$C, MATCH(M36, Roll!$B:$B, 0)), "")</f>
        <v/>
      </c>
      <c r="P36" t="str">
        <f t="shared" ref="P36" ca="1" si="58">IF(O36&lt;&gt;"", IFERROR(MODE(O35:O37), O35), "")</f>
        <v/>
      </c>
      <c r="Q36" t="str">
        <f t="shared" si="0"/>
        <v/>
      </c>
      <c r="R36" t="str">
        <f t="shared" si="1"/>
        <v/>
      </c>
      <c r="S36" t="str">
        <f t="shared" si="2"/>
        <v/>
      </c>
      <c r="V36" t="str">
        <f ca="1">IFERROR(INDEX(Roll!$C:$C, MATCH(T36, Roll!$B:$B, 0)), "")</f>
        <v/>
      </c>
      <c r="W36" t="str">
        <f t="shared" ca="1" si="39"/>
        <v/>
      </c>
      <c r="X36" t="str">
        <f t="shared" si="3"/>
        <v/>
      </c>
      <c r="Y36" t="str">
        <f t="shared" si="4"/>
        <v/>
      </c>
      <c r="Z36" t="str">
        <f t="shared" si="5"/>
        <v/>
      </c>
    </row>
    <row r="37" spans="15:26" x14ac:dyDescent="0.3">
      <c r="O37" t="str">
        <f ca="1">IFERROR(INDEX(Roll!$C:$C, MATCH(M37, Roll!$B:$B, 0)), "")</f>
        <v/>
      </c>
      <c r="P37" t="str">
        <f t="shared" ref="P37" ca="1" si="59">IF(O37&lt;&gt;"", IFERROR(MODE(O35:O37), O35), "")</f>
        <v/>
      </c>
      <c r="Q37" t="str">
        <f t="shared" si="0"/>
        <v/>
      </c>
      <c r="R37" t="str">
        <f t="shared" si="1"/>
        <v/>
      </c>
      <c r="S37" t="str">
        <f t="shared" si="2"/>
        <v/>
      </c>
      <c r="V37" t="str">
        <f ca="1">IFERROR(INDEX(Roll!$C:$C, MATCH(T37, Roll!$B:$B, 0)), "")</f>
        <v/>
      </c>
      <c r="W37" t="str">
        <f t="shared" ca="1" si="41"/>
        <v/>
      </c>
      <c r="X37" t="str">
        <f t="shared" si="3"/>
        <v/>
      </c>
      <c r="Y37" t="str">
        <f t="shared" si="4"/>
        <v/>
      </c>
      <c r="Z37" t="str">
        <f t="shared" si="5"/>
        <v/>
      </c>
    </row>
    <row r="38" spans="15:26" x14ac:dyDescent="0.3">
      <c r="O38" t="str">
        <f ca="1">IFERROR(INDEX(Roll!$C:$C, MATCH(M38, Roll!$B:$B, 0)), "")</f>
        <v/>
      </c>
      <c r="P38" t="str">
        <f t="shared" ref="P38" ca="1" si="60">IF(O38&lt;&gt;"",IFERROR(MODE(O38:O40), O38), "")</f>
        <v/>
      </c>
      <c r="Q38" t="str">
        <f t="shared" si="0"/>
        <v/>
      </c>
      <c r="R38" t="str">
        <f t="shared" si="1"/>
        <v/>
      </c>
      <c r="S38" t="str">
        <f t="shared" si="2"/>
        <v/>
      </c>
      <c r="V38" t="str">
        <f ca="1">IFERROR(INDEX(Roll!$C:$C, MATCH(T38, Roll!$B:$B, 0)), "")</f>
        <v/>
      </c>
      <c r="W38" t="str">
        <f t="shared" ref="W38" ca="1" si="61">IF(V38&lt;&gt;"",IFERROR(MODE(V38:V40), V38), "")</f>
        <v/>
      </c>
      <c r="X38" t="str">
        <f t="shared" si="3"/>
        <v/>
      </c>
      <c r="Y38" t="str">
        <f t="shared" si="4"/>
        <v/>
      </c>
      <c r="Z38" t="str">
        <f t="shared" si="5"/>
        <v/>
      </c>
    </row>
    <row r="39" spans="15:26" x14ac:dyDescent="0.3">
      <c r="O39" t="str">
        <f ca="1">IFERROR(INDEX(Roll!$C:$C, MATCH(M39, Roll!$B:$B, 0)), "")</f>
        <v/>
      </c>
      <c r="P39" t="str">
        <f t="shared" ref="P39" ca="1" si="62">IF(O39&lt;&gt;"",IFERROR(MODE(O38:O40), O38), "")</f>
        <v/>
      </c>
      <c r="Q39" t="str">
        <f t="shared" si="0"/>
        <v/>
      </c>
      <c r="R39" t="str">
        <f t="shared" si="1"/>
        <v/>
      </c>
      <c r="S39" t="str">
        <f t="shared" si="2"/>
        <v/>
      </c>
      <c r="V39" t="str">
        <f ca="1">IFERROR(INDEX(Roll!$C:$C, MATCH(T39, Roll!$B:$B, 0)), "")</f>
        <v/>
      </c>
      <c r="W39" t="str">
        <f t="shared" ref="W39" ca="1" si="63">IF(V39&lt;&gt;"",IFERROR(MODE(V38:V40), V38), "")</f>
        <v/>
      </c>
      <c r="X39" t="str">
        <f t="shared" si="3"/>
        <v/>
      </c>
      <c r="Y39" t="str">
        <f t="shared" si="4"/>
        <v/>
      </c>
      <c r="Z39" t="str">
        <f t="shared" si="5"/>
        <v/>
      </c>
    </row>
    <row r="40" spans="15:26" x14ac:dyDescent="0.3">
      <c r="O40" t="str">
        <f ca="1">IFERROR(INDEX(Roll!$C:$C, MATCH(M40, Roll!$B:$B, 0)), "")</f>
        <v/>
      </c>
      <c r="P40" t="str">
        <f t="shared" ref="P40" ca="1" si="64">IF(O40&lt;&gt;"",IFERROR(MODE(O38:O40), O38), "")</f>
        <v/>
      </c>
      <c r="Q40" t="str">
        <f t="shared" si="0"/>
        <v/>
      </c>
      <c r="R40" t="str">
        <f t="shared" si="1"/>
        <v/>
      </c>
      <c r="S40" t="str">
        <f t="shared" si="2"/>
        <v/>
      </c>
      <c r="V40" t="str">
        <f ca="1">IFERROR(INDEX(Roll!$C:$C, MATCH(T40, Roll!$B:$B, 0)), "")</f>
        <v/>
      </c>
      <c r="W40" t="str">
        <f t="shared" ref="W40" ca="1" si="65">IF(V40&lt;&gt;"",IFERROR(MODE(V38:V40), V38), "")</f>
        <v/>
      </c>
      <c r="X40" t="str">
        <f t="shared" si="3"/>
        <v/>
      </c>
      <c r="Y40" t="str">
        <f t="shared" si="4"/>
        <v/>
      </c>
      <c r="Z40" t="str">
        <f t="shared" si="5"/>
        <v/>
      </c>
    </row>
    <row r="41" spans="15:26" x14ac:dyDescent="0.3">
      <c r="O41" t="str">
        <f ca="1">IFERROR(INDEX(Roll!$C:$C, MATCH(M41, Roll!$B:$B, 0)), "")</f>
        <v/>
      </c>
      <c r="P41" t="str">
        <f t="shared" ref="P41" ca="1" si="66">IF(O41&lt;&gt;"", IFERROR(MODE(O41:O43), O41), "")</f>
        <v/>
      </c>
      <c r="Q41" t="str">
        <f t="shared" si="0"/>
        <v/>
      </c>
      <c r="R41" t="str">
        <f t="shared" si="1"/>
        <v/>
      </c>
      <c r="S41" t="str">
        <f t="shared" si="2"/>
        <v/>
      </c>
      <c r="V41" t="str">
        <f ca="1">IFERROR(INDEX(Roll!$C:$C, MATCH(T41, Roll!$B:$B, 0)), "")</f>
        <v/>
      </c>
      <c r="W41" t="str">
        <f t="shared" ref="W41" ca="1" si="67">IF(V41&lt;&gt;"", IFERROR(MODE(V41:V43), V41), "")</f>
        <v/>
      </c>
      <c r="X41" t="str">
        <f t="shared" si="3"/>
        <v/>
      </c>
      <c r="Y41" t="str">
        <f t="shared" si="4"/>
        <v/>
      </c>
      <c r="Z41" t="str">
        <f t="shared" si="5"/>
        <v/>
      </c>
    </row>
    <row r="42" spans="15:26" x14ac:dyDescent="0.3">
      <c r="O42" t="str">
        <f ca="1">IFERROR(INDEX(Roll!$C:$C, MATCH(M42, Roll!$B:$B, 0)), "")</f>
        <v/>
      </c>
      <c r="P42" t="str">
        <f t="shared" ref="P42" ca="1" si="68">IF(O42&lt;&gt;"", IFERROR(MODE(O41:O43), O41), "")</f>
        <v/>
      </c>
      <c r="Q42" t="str">
        <f t="shared" si="0"/>
        <v/>
      </c>
      <c r="R42" t="str">
        <f t="shared" si="1"/>
        <v/>
      </c>
      <c r="S42" t="str">
        <f t="shared" si="2"/>
        <v/>
      </c>
      <c r="V42" t="str">
        <f ca="1">IFERROR(INDEX(Roll!$C:$C, MATCH(T42, Roll!$B:$B, 0)), "")</f>
        <v/>
      </c>
      <c r="W42" t="str">
        <f t="shared" ref="W42" ca="1" si="69">IF(V42&lt;&gt;"", IFERROR(MODE(V41:V43), V41), "")</f>
        <v/>
      </c>
      <c r="X42" t="str">
        <f t="shared" si="3"/>
        <v/>
      </c>
      <c r="Y42" t="str">
        <f t="shared" si="4"/>
        <v/>
      </c>
      <c r="Z42" t="str">
        <f t="shared" si="5"/>
        <v/>
      </c>
    </row>
    <row r="43" spans="15:26" x14ac:dyDescent="0.3">
      <c r="O43" t="str">
        <f ca="1">IFERROR(INDEX(Roll!$C:$C, MATCH(M43, Roll!$B:$B, 0)), "")</f>
        <v/>
      </c>
      <c r="P43" t="str">
        <f t="shared" ref="P43" ca="1" si="70">IF(O43&lt;&gt;"", IFERROR(MODE(O41:O43), O41), "")</f>
        <v/>
      </c>
      <c r="Q43" t="str">
        <f t="shared" si="0"/>
        <v/>
      </c>
      <c r="R43" t="str">
        <f t="shared" si="1"/>
        <v/>
      </c>
      <c r="S43" t="str">
        <f t="shared" si="2"/>
        <v/>
      </c>
      <c r="V43" t="str">
        <f ca="1">IFERROR(INDEX(Roll!$C:$C, MATCH(T43, Roll!$B:$B, 0)), "")</f>
        <v/>
      </c>
      <c r="W43" t="str">
        <f t="shared" ref="W43" ca="1" si="71">IF(V43&lt;&gt;"", IFERROR(MODE(V41:V43), V41), "")</f>
        <v/>
      </c>
      <c r="X43" t="str">
        <f t="shared" si="3"/>
        <v/>
      </c>
      <c r="Y43" t="str">
        <f t="shared" si="4"/>
        <v/>
      </c>
      <c r="Z43" t="str">
        <f t="shared" si="5"/>
        <v/>
      </c>
    </row>
    <row r="44" spans="15:26" x14ac:dyDescent="0.3">
      <c r="O44" t="str">
        <f ca="1">IFERROR(INDEX(Roll!$C:$C, MATCH(M44, Roll!$B:$B, 0)), "")</f>
        <v/>
      </c>
      <c r="P44" t="str">
        <f t="shared" ref="P44" ca="1" si="72">IF(O44&lt;&gt;"",IFERROR(MODE(O44:O46), O44), "")</f>
        <v/>
      </c>
      <c r="Q44" t="str">
        <f t="shared" si="0"/>
        <v/>
      </c>
      <c r="R44" t="str">
        <f t="shared" si="1"/>
        <v/>
      </c>
      <c r="S44" t="str">
        <f t="shared" si="2"/>
        <v/>
      </c>
      <c r="V44" t="str">
        <f ca="1">IFERROR(INDEX(Roll!$C:$C, MATCH(T44, Roll!$B:$B, 0)), "")</f>
        <v/>
      </c>
      <c r="W44" t="str">
        <f t="shared" ca="1" si="31"/>
        <v/>
      </c>
      <c r="X44" t="str">
        <f t="shared" si="3"/>
        <v/>
      </c>
      <c r="Y44" t="str">
        <f t="shared" si="4"/>
        <v/>
      </c>
      <c r="Z44" t="str">
        <f t="shared" si="5"/>
        <v/>
      </c>
    </row>
    <row r="45" spans="15:26" x14ac:dyDescent="0.3">
      <c r="O45" t="str">
        <f ca="1">IFERROR(INDEX(Roll!$C:$C, MATCH(M45, Roll!$B:$B, 0)), "")</f>
        <v/>
      </c>
      <c r="P45" t="str">
        <f t="shared" ref="P45" ca="1" si="73">IF(O45&lt;&gt;"",IFERROR(MODE(O44:O46), O44), "")</f>
        <v/>
      </c>
      <c r="Q45" t="str">
        <f t="shared" si="0"/>
        <v/>
      </c>
      <c r="R45" t="str">
        <f t="shared" si="1"/>
        <v/>
      </c>
      <c r="S45" t="str">
        <f t="shared" si="2"/>
        <v/>
      </c>
      <c r="V45" t="str">
        <f ca="1">IFERROR(INDEX(Roll!$C:$C, MATCH(T45, Roll!$B:$B, 0)), "")</f>
        <v/>
      </c>
      <c r="W45" t="str">
        <f t="shared" ca="1" si="33"/>
        <v/>
      </c>
      <c r="X45" t="str">
        <f t="shared" si="3"/>
        <v/>
      </c>
      <c r="Y45" t="str">
        <f t="shared" si="4"/>
        <v/>
      </c>
      <c r="Z45" t="str">
        <f t="shared" si="5"/>
        <v/>
      </c>
    </row>
    <row r="46" spans="15:26" x14ac:dyDescent="0.3">
      <c r="O46" t="str">
        <f ca="1">IFERROR(INDEX(Roll!$C:$C, MATCH(M46, Roll!$B:$B, 0)), "")</f>
        <v/>
      </c>
      <c r="P46" t="str">
        <f t="shared" ref="P46" ca="1" si="74">IF(O46&lt;&gt;"",IFERROR(MODE(O44:O46), O44), "")</f>
        <v/>
      </c>
      <c r="Q46" t="str">
        <f t="shared" si="0"/>
        <v/>
      </c>
      <c r="R46" t="str">
        <f t="shared" si="1"/>
        <v/>
      </c>
      <c r="S46" t="str">
        <f t="shared" si="2"/>
        <v/>
      </c>
      <c r="V46" t="str">
        <f ca="1">IFERROR(INDEX(Roll!$C:$C, MATCH(T46, Roll!$B:$B, 0)), "")</f>
        <v/>
      </c>
      <c r="W46" t="str">
        <f t="shared" ca="1" si="35"/>
        <v/>
      </c>
      <c r="X46" t="str">
        <f t="shared" si="3"/>
        <v/>
      </c>
      <c r="Y46" t="str">
        <f t="shared" si="4"/>
        <v/>
      </c>
      <c r="Z46" t="str">
        <f t="shared" si="5"/>
        <v/>
      </c>
    </row>
    <row r="47" spans="15:26" x14ac:dyDescent="0.3">
      <c r="O47" t="str">
        <f ca="1">IFERROR(INDEX(Roll!$C:$C, MATCH(M47, Roll!$B:$B, 0)), "")</f>
        <v/>
      </c>
      <c r="P47" t="str">
        <f t="shared" ref="P47" ca="1" si="75">IF(O47&lt;&gt;"", IFERROR(MODE(O47:O49), O47), "")</f>
        <v/>
      </c>
      <c r="Q47" t="str">
        <f t="shared" si="0"/>
        <v/>
      </c>
      <c r="R47" t="str">
        <f t="shared" si="1"/>
        <v/>
      </c>
      <c r="S47" t="str">
        <f t="shared" si="2"/>
        <v/>
      </c>
      <c r="V47" t="str">
        <f ca="1">IFERROR(INDEX(Roll!$C:$C, MATCH(T47, Roll!$B:$B, 0)), "")</f>
        <v/>
      </c>
      <c r="W47" t="str">
        <f t="shared" ca="1" si="37"/>
        <v/>
      </c>
      <c r="X47" t="str">
        <f t="shared" si="3"/>
        <v/>
      </c>
      <c r="Y47" t="str">
        <f t="shared" si="4"/>
        <v/>
      </c>
      <c r="Z47" t="str">
        <f t="shared" si="5"/>
        <v/>
      </c>
    </row>
    <row r="48" spans="15:26" x14ac:dyDescent="0.3">
      <c r="O48" t="str">
        <f ca="1">IFERROR(INDEX(Roll!$C:$C, MATCH(M48, Roll!$B:$B, 0)), "")</f>
        <v/>
      </c>
      <c r="P48" t="str">
        <f t="shared" ref="P48" ca="1" si="76">IF(O48&lt;&gt;"", IFERROR(MODE(O47:O49), O47), "")</f>
        <v/>
      </c>
      <c r="Q48" t="str">
        <f t="shared" si="0"/>
        <v/>
      </c>
      <c r="R48" t="str">
        <f t="shared" si="1"/>
        <v/>
      </c>
      <c r="S48" t="str">
        <f t="shared" si="2"/>
        <v/>
      </c>
      <c r="V48" t="str">
        <f ca="1">IFERROR(INDEX(Roll!$C:$C, MATCH(T48, Roll!$B:$B, 0)), "")</f>
        <v/>
      </c>
      <c r="W48" t="str">
        <f t="shared" ca="1" si="39"/>
        <v/>
      </c>
      <c r="X48" t="str">
        <f t="shared" si="3"/>
        <v/>
      </c>
      <c r="Y48" t="str">
        <f t="shared" si="4"/>
        <v/>
      </c>
      <c r="Z48" t="str">
        <f t="shared" si="5"/>
        <v/>
      </c>
    </row>
    <row r="49" spans="15:26" x14ac:dyDescent="0.3">
      <c r="O49" t="str">
        <f ca="1">IFERROR(INDEX(Roll!$C:$C, MATCH(M49, Roll!$B:$B, 0)), "")</f>
        <v/>
      </c>
      <c r="P49" t="str">
        <f t="shared" ref="P49" ca="1" si="77">IF(O49&lt;&gt;"", IFERROR(MODE(O47:O49), O47), "")</f>
        <v/>
      </c>
      <c r="Q49" t="str">
        <f t="shared" si="0"/>
        <v/>
      </c>
      <c r="R49" t="str">
        <f t="shared" si="1"/>
        <v/>
      </c>
      <c r="S49" t="str">
        <f t="shared" si="2"/>
        <v/>
      </c>
      <c r="V49" t="str">
        <f ca="1">IFERROR(INDEX(Roll!$C:$C, MATCH(T49, Roll!$B:$B, 0)), "")</f>
        <v/>
      </c>
      <c r="W49" t="str">
        <f t="shared" ca="1" si="41"/>
        <v/>
      </c>
      <c r="X49" t="str">
        <f t="shared" si="3"/>
        <v/>
      </c>
      <c r="Y49" t="str">
        <f t="shared" si="4"/>
        <v/>
      </c>
      <c r="Z49" t="str">
        <f t="shared" si="5"/>
        <v/>
      </c>
    </row>
    <row r="50" spans="15:26" x14ac:dyDescent="0.3">
      <c r="O50" t="str">
        <f ca="1">IFERROR(INDEX(Roll!$C:$C, MATCH(M50, Roll!$B:$B, 0)), "")</f>
        <v/>
      </c>
      <c r="P50" t="str">
        <f t="shared" ref="P50" ca="1" si="78">IF(O50&lt;&gt;"",IFERROR(MODE(O50:O52), O50), "")</f>
        <v/>
      </c>
      <c r="Q50" t="str">
        <f t="shared" si="0"/>
        <v/>
      </c>
      <c r="R50" t="str">
        <f t="shared" si="1"/>
        <v/>
      </c>
      <c r="S50" t="str">
        <f t="shared" si="2"/>
        <v/>
      </c>
      <c r="V50" t="str">
        <f ca="1">IFERROR(INDEX(Roll!$C:$C, MATCH(T50, Roll!$B:$B, 0)), "")</f>
        <v/>
      </c>
      <c r="W50" t="str">
        <f t="shared" ref="W50" ca="1" si="79">IF(V50&lt;&gt;"",IFERROR(MODE(V50:V52), V50), "")</f>
        <v/>
      </c>
      <c r="X50" t="str">
        <f t="shared" si="3"/>
        <v/>
      </c>
      <c r="Y50" t="str">
        <f t="shared" si="4"/>
        <v/>
      </c>
      <c r="Z50" t="str">
        <f t="shared" si="5"/>
        <v/>
      </c>
    </row>
    <row r="51" spans="15:26" x14ac:dyDescent="0.3">
      <c r="O51" t="str">
        <f ca="1">IFERROR(INDEX(Roll!$C:$C, MATCH(M51, Roll!$B:$B, 0)), "")</f>
        <v/>
      </c>
      <c r="P51" t="str">
        <f t="shared" ref="P51" ca="1" si="80">IF(O51&lt;&gt;"",IFERROR(MODE(O50:O52), O50), "")</f>
        <v/>
      </c>
      <c r="Q51" t="str">
        <f t="shared" si="0"/>
        <v/>
      </c>
      <c r="R51" t="str">
        <f t="shared" si="1"/>
        <v/>
      </c>
      <c r="S51" t="str">
        <f t="shared" si="2"/>
        <v/>
      </c>
      <c r="V51" t="str">
        <f ca="1">IFERROR(INDEX(Roll!$C:$C, MATCH(T51, Roll!$B:$B, 0)), "")</f>
        <v/>
      </c>
      <c r="W51" t="str">
        <f t="shared" ref="W51" ca="1" si="81">IF(V51&lt;&gt;"",IFERROR(MODE(V50:V52), V50), "")</f>
        <v/>
      </c>
      <c r="X51" t="str">
        <f t="shared" si="3"/>
        <v/>
      </c>
      <c r="Y51" t="str">
        <f t="shared" si="4"/>
        <v/>
      </c>
      <c r="Z51" t="str">
        <f t="shared" si="5"/>
        <v/>
      </c>
    </row>
    <row r="52" spans="15:26" x14ac:dyDescent="0.3">
      <c r="O52" t="str">
        <f ca="1">IFERROR(INDEX(Roll!$C:$C, MATCH(M52, Roll!$B:$B, 0)), "")</f>
        <v/>
      </c>
      <c r="P52" t="str">
        <f t="shared" ref="P52" ca="1" si="82">IF(O52&lt;&gt;"",IFERROR(MODE(O50:O52), O50), "")</f>
        <v/>
      </c>
      <c r="Q52" t="str">
        <f t="shared" si="0"/>
        <v/>
      </c>
      <c r="R52" t="str">
        <f t="shared" si="1"/>
        <v/>
      </c>
      <c r="S52" t="str">
        <f t="shared" si="2"/>
        <v/>
      </c>
      <c r="V52" t="str">
        <f ca="1">IFERROR(INDEX(Roll!$C:$C, MATCH(T52, Roll!$B:$B, 0)), "")</f>
        <v/>
      </c>
      <c r="W52" t="str">
        <f t="shared" ref="W52" ca="1" si="83">IF(V52&lt;&gt;"",IFERROR(MODE(V50:V52), V50), "")</f>
        <v/>
      </c>
      <c r="X52" t="str">
        <f t="shared" si="3"/>
        <v/>
      </c>
      <c r="Y52" t="str">
        <f t="shared" si="4"/>
        <v/>
      </c>
      <c r="Z52" t="str">
        <f t="shared" si="5"/>
        <v/>
      </c>
    </row>
    <row r="53" spans="15:26" x14ac:dyDescent="0.3">
      <c r="O53" t="str">
        <f ca="1">IFERROR(INDEX(Roll!$C:$C, MATCH(M53, Roll!$B:$B, 0)), "")</f>
        <v/>
      </c>
      <c r="P53" t="str">
        <f t="shared" ref="P53" ca="1" si="84">IF(O53&lt;&gt;"", IFERROR(MODE(O53:O55), O53), "")</f>
        <v/>
      </c>
      <c r="Q53" t="str">
        <f t="shared" si="0"/>
        <v/>
      </c>
      <c r="R53" t="str">
        <f t="shared" si="1"/>
        <v/>
      </c>
      <c r="S53" t="str">
        <f t="shared" si="2"/>
        <v/>
      </c>
      <c r="V53" t="str">
        <f ca="1">IFERROR(INDEX(Roll!$C:$C, MATCH(T53, Roll!$B:$B, 0)), "")</f>
        <v/>
      </c>
      <c r="W53" t="str">
        <f t="shared" ref="W53" ca="1" si="85">IF(V53&lt;&gt;"", IFERROR(MODE(V53:V55), V53), "")</f>
        <v/>
      </c>
      <c r="X53" t="str">
        <f t="shared" si="3"/>
        <v/>
      </c>
      <c r="Y53" t="str">
        <f t="shared" si="4"/>
        <v/>
      </c>
      <c r="Z53" t="str">
        <f t="shared" si="5"/>
        <v/>
      </c>
    </row>
    <row r="54" spans="15:26" x14ac:dyDescent="0.3">
      <c r="O54" t="str">
        <f ca="1">IFERROR(INDEX(Roll!$C:$C, MATCH(M54, Roll!$B:$B, 0)), "")</f>
        <v/>
      </c>
      <c r="P54" t="str">
        <f t="shared" ref="P54" ca="1" si="86">IF(O54&lt;&gt;"", IFERROR(MODE(O53:O55), O53), "")</f>
        <v/>
      </c>
      <c r="Q54" t="str">
        <f t="shared" si="0"/>
        <v/>
      </c>
      <c r="R54" t="str">
        <f t="shared" si="1"/>
        <v/>
      </c>
      <c r="S54" t="str">
        <f t="shared" si="2"/>
        <v/>
      </c>
      <c r="V54" t="str">
        <f ca="1">IFERROR(INDEX(Roll!$C:$C, MATCH(T54, Roll!$B:$B, 0)), "")</f>
        <v/>
      </c>
      <c r="W54" t="str">
        <f t="shared" ref="W54" ca="1" si="87">IF(V54&lt;&gt;"", IFERROR(MODE(V53:V55), V53), "")</f>
        <v/>
      </c>
      <c r="X54" t="str">
        <f t="shared" si="3"/>
        <v/>
      </c>
      <c r="Y54" t="str">
        <f t="shared" si="4"/>
        <v/>
      </c>
      <c r="Z54" t="str">
        <f t="shared" si="5"/>
        <v/>
      </c>
    </row>
    <row r="55" spans="15:26" x14ac:dyDescent="0.3">
      <c r="O55" t="str">
        <f ca="1">IFERROR(INDEX(Roll!$C:$C, MATCH(M55, Roll!$B:$B, 0)), "")</f>
        <v/>
      </c>
      <c r="P55" t="str">
        <f t="shared" ref="P55" ca="1" si="88">IF(O55&lt;&gt;"", IFERROR(MODE(O53:O55), O53), "")</f>
        <v/>
      </c>
      <c r="Q55" t="str">
        <f t="shared" si="0"/>
        <v/>
      </c>
      <c r="R55" t="str">
        <f t="shared" si="1"/>
        <v/>
      </c>
      <c r="S55" t="str">
        <f t="shared" si="2"/>
        <v/>
      </c>
      <c r="V55" t="str">
        <f ca="1">IFERROR(INDEX(Roll!$C:$C, MATCH(T55, Roll!$B:$B, 0)), "")</f>
        <v/>
      </c>
      <c r="W55" t="str">
        <f t="shared" ref="W55" ca="1" si="89">IF(V55&lt;&gt;"", IFERROR(MODE(V53:V55), V53), "")</f>
        <v/>
      </c>
      <c r="X55" t="str">
        <f t="shared" si="3"/>
        <v/>
      </c>
      <c r="Y55" t="str">
        <f t="shared" si="4"/>
        <v/>
      </c>
      <c r="Z55" t="str">
        <f t="shared" si="5"/>
        <v/>
      </c>
    </row>
    <row r="56" spans="15:26" x14ac:dyDescent="0.3">
      <c r="O56" t="str">
        <f ca="1">IFERROR(INDEX(Roll!$C:$C, MATCH(M56, Roll!$B:$B, 0)), "")</f>
        <v/>
      </c>
      <c r="P56" t="str">
        <f t="shared" ref="P56" ca="1" si="90">IF(O56&lt;&gt;"",IFERROR(MODE(O56:O58), O56), "")</f>
        <v/>
      </c>
      <c r="Q56" t="str">
        <f t="shared" si="0"/>
        <v/>
      </c>
      <c r="R56" t="str">
        <f t="shared" si="1"/>
        <v/>
      </c>
      <c r="S56" t="str">
        <f t="shared" si="2"/>
        <v/>
      </c>
      <c r="V56" t="str">
        <f ca="1">IFERROR(INDEX(Roll!$C:$C, MATCH(T56, Roll!$B:$B, 0)), "")</f>
        <v/>
      </c>
      <c r="W56" t="str">
        <f t="shared" ca="1" si="31"/>
        <v/>
      </c>
      <c r="X56" t="str">
        <f t="shared" si="3"/>
        <v/>
      </c>
      <c r="Y56" t="str">
        <f t="shared" si="4"/>
        <v/>
      </c>
      <c r="Z56" t="str">
        <f t="shared" si="5"/>
        <v/>
      </c>
    </row>
    <row r="57" spans="15:26" x14ac:dyDescent="0.3">
      <c r="O57" t="str">
        <f ca="1">IFERROR(INDEX(Roll!$C:$C, MATCH(M57, Roll!$B:$B, 0)), "")</f>
        <v/>
      </c>
      <c r="P57" t="str">
        <f t="shared" ref="P57" ca="1" si="91">IF(O57&lt;&gt;"",IFERROR(MODE(O56:O58), O56), "")</f>
        <v/>
      </c>
      <c r="Q57" t="str">
        <f t="shared" si="0"/>
        <v/>
      </c>
      <c r="R57" t="str">
        <f t="shared" si="1"/>
        <v/>
      </c>
      <c r="S57" t="str">
        <f t="shared" si="2"/>
        <v/>
      </c>
      <c r="V57" t="str">
        <f ca="1">IFERROR(INDEX(Roll!$C:$C, MATCH(T57, Roll!$B:$B, 0)), "")</f>
        <v/>
      </c>
      <c r="W57" t="str">
        <f t="shared" ca="1" si="33"/>
        <v/>
      </c>
      <c r="X57" t="str">
        <f t="shared" si="3"/>
        <v/>
      </c>
      <c r="Y57" t="str">
        <f t="shared" si="4"/>
        <v/>
      </c>
      <c r="Z57" t="str">
        <f t="shared" si="5"/>
        <v/>
      </c>
    </row>
    <row r="58" spans="15:26" x14ac:dyDescent="0.3">
      <c r="O58" t="str">
        <f ca="1">IFERROR(INDEX(Roll!$C:$C, MATCH(M58, Roll!$B:$B, 0)), "")</f>
        <v/>
      </c>
      <c r="P58" t="str">
        <f t="shared" ref="P58" ca="1" si="92">IF(O58&lt;&gt;"",IFERROR(MODE(O56:O58), O56), "")</f>
        <v/>
      </c>
      <c r="Q58" t="str">
        <f t="shared" si="0"/>
        <v/>
      </c>
      <c r="R58" t="str">
        <f t="shared" si="1"/>
        <v/>
      </c>
      <c r="S58" t="str">
        <f t="shared" si="2"/>
        <v/>
      </c>
      <c r="V58" t="str">
        <f ca="1">IFERROR(INDEX(Roll!$C:$C, MATCH(T58, Roll!$B:$B, 0)), "")</f>
        <v/>
      </c>
      <c r="W58" t="str">
        <f t="shared" ca="1" si="35"/>
        <v/>
      </c>
      <c r="X58" t="str">
        <f t="shared" si="3"/>
        <v/>
      </c>
      <c r="Y58" t="str">
        <f t="shared" si="4"/>
        <v/>
      </c>
      <c r="Z58" t="str">
        <f t="shared" si="5"/>
        <v/>
      </c>
    </row>
    <row r="59" spans="15:26" x14ac:dyDescent="0.3">
      <c r="O59" t="str">
        <f ca="1">IFERROR(INDEX(Roll!$C:$C, MATCH(M59, Roll!$B:$B, 0)), "")</f>
        <v/>
      </c>
      <c r="P59" t="str">
        <f t="shared" ref="P59" ca="1" si="93">IF(O59&lt;&gt;"", IFERROR(MODE(O59:O61), O59), "")</f>
        <v/>
      </c>
      <c r="Q59" t="str">
        <f t="shared" si="0"/>
        <v/>
      </c>
      <c r="R59" t="str">
        <f t="shared" si="1"/>
        <v/>
      </c>
      <c r="S59" t="str">
        <f t="shared" si="2"/>
        <v/>
      </c>
      <c r="V59" t="str">
        <f ca="1">IFERROR(INDEX(Roll!$C:$C, MATCH(T59, Roll!$B:$B, 0)), "")</f>
        <v/>
      </c>
      <c r="W59" t="str">
        <f t="shared" ca="1" si="37"/>
        <v/>
      </c>
      <c r="X59" t="str">
        <f t="shared" si="3"/>
        <v/>
      </c>
      <c r="Y59" t="str">
        <f t="shared" si="4"/>
        <v/>
      </c>
      <c r="Z59" t="str">
        <f t="shared" si="5"/>
        <v/>
      </c>
    </row>
    <row r="60" spans="15:26" x14ac:dyDescent="0.3">
      <c r="O60" t="str">
        <f ca="1">IFERROR(INDEX(Roll!$C:$C, MATCH(M60, Roll!$B:$B, 0)), "")</f>
        <v/>
      </c>
      <c r="P60" t="str">
        <f t="shared" ref="P60" ca="1" si="94">IF(O60&lt;&gt;"", IFERROR(MODE(O59:O61), O59), "")</f>
        <v/>
      </c>
      <c r="Q60" t="str">
        <f t="shared" si="0"/>
        <v/>
      </c>
      <c r="R60" t="str">
        <f t="shared" si="1"/>
        <v/>
      </c>
      <c r="S60" t="str">
        <f t="shared" si="2"/>
        <v/>
      </c>
      <c r="V60" t="str">
        <f ca="1">IFERROR(INDEX(Roll!$C:$C, MATCH(T60, Roll!$B:$B, 0)), "")</f>
        <v/>
      </c>
      <c r="W60" t="str">
        <f t="shared" ca="1" si="39"/>
        <v/>
      </c>
      <c r="X60" t="str">
        <f t="shared" si="3"/>
        <v/>
      </c>
      <c r="Y60" t="str">
        <f t="shared" si="4"/>
        <v/>
      </c>
      <c r="Z60" t="str">
        <f t="shared" si="5"/>
        <v/>
      </c>
    </row>
    <row r="61" spans="15:26" x14ac:dyDescent="0.3">
      <c r="O61" t="str">
        <f ca="1">IFERROR(INDEX(Roll!$C:$C, MATCH(M61, Roll!$B:$B, 0)), "")</f>
        <v/>
      </c>
      <c r="V61" t="str">
        <f ca="1">IFERROR(INDEX(Roll!$C:$C, MATCH(T61, Roll!$B:$B, 0)), "")</f>
        <v/>
      </c>
    </row>
    <row r="62" spans="15:26" x14ac:dyDescent="0.3">
      <c r="O62" t="str">
        <f ca="1">IFERROR(INDEX(Roll!$C:$C, MATCH(M62, Roll!$B:$B, 0)), "")</f>
        <v/>
      </c>
      <c r="V62" t="str">
        <f ca="1">IFERROR(INDEX(Roll!$C:$C, MATCH(T62, Roll!$B:$B, 0)), "")</f>
        <v/>
      </c>
    </row>
    <row r="63" spans="15:26" x14ac:dyDescent="0.3">
      <c r="O63" t="str">
        <f ca="1">IFERROR(INDEX(Roll!$C:$C, MATCH(M63, Roll!$B:$B, 0)), "")</f>
        <v/>
      </c>
      <c r="V63" t="str">
        <f ca="1">IFERROR(INDEX(Roll!$C:$C, MATCH(T63, Roll!$B:$B, 0)), "")</f>
        <v/>
      </c>
    </row>
    <row r="64" spans="15:26" x14ac:dyDescent="0.3">
      <c r="O64" t="str">
        <f ca="1">IFERROR(INDEX(Roll!$C:$C, MATCH(M64, Roll!$B:$B, 0)), "")</f>
        <v/>
      </c>
      <c r="V64" t="str">
        <f ca="1">IFERROR(INDEX(Roll!$C:$C, MATCH(T64, Roll!$B:$B, 0)), "")</f>
        <v/>
      </c>
    </row>
    <row r="65" spans="15:22" x14ac:dyDescent="0.3">
      <c r="O65" t="str">
        <f ca="1">IFERROR(INDEX(Roll!$C:$C, MATCH(M65, Roll!$B:$B, 0)), "")</f>
        <v/>
      </c>
      <c r="V65" t="str">
        <f ca="1">IFERROR(INDEX(Roll!$C:$C, MATCH(T65, Roll!$B:$B, 0)), "")</f>
        <v/>
      </c>
    </row>
    <row r="66" spans="15:22" x14ac:dyDescent="0.3">
      <c r="O66" t="str">
        <f ca="1">IFERROR(INDEX(Roll!$C:$C, MATCH(M66, Roll!$B:$B, 0)), "")</f>
        <v/>
      </c>
      <c r="V66" t="str">
        <f ca="1">IFERROR(INDEX(Roll!$C:$C, MATCH(T66, Roll!$B:$B, 0)), "")</f>
        <v/>
      </c>
    </row>
    <row r="67" spans="15:22" x14ac:dyDescent="0.3">
      <c r="O67" t="str">
        <f ca="1">IFERROR(INDEX(Roll!$C:$C, MATCH(M67, Roll!$B:$B, 0)), "")</f>
        <v/>
      </c>
      <c r="V67" t="str">
        <f ca="1">IFERROR(INDEX(Roll!$C:$C, MATCH(T67, Roll!$B:$B, 0)), "")</f>
        <v/>
      </c>
    </row>
    <row r="68" spans="15:22" x14ac:dyDescent="0.3">
      <c r="O68" t="str">
        <f ca="1">IFERROR(INDEX(Roll!$C:$C, MATCH(M68, Roll!$B:$B, 0)), "")</f>
        <v/>
      </c>
      <c r="V68" t="str">
        <f ca="1">IFERROR(INDEX(Roll!$C:$C, MATCH(T68, Roll!$B:$B, 0)), "")</f>
        <v/>
      </c>
    </row>
    <row r="69" spans="15:22" x14ac:dyDescent="0.3">
      <c r="O69" t="str">
        <f ca="1">IFERROR(INDEX(Roll!$C:$C, MATCH(M69, Roll!$B:$B, 0)), "")</f>
        <v/>
      </c>
      <c r="V69" t="str">
        <f ca="1">IFERROR(INDEX(Roll!$C:$C, MATCH(T69, Roll!$B:$B, 0)), "")</f>
        <v/>
      </c>
    </row>
    <row r="70" spans="15:22" x14ac:dyDescent="0.3">
      <c r="O70" t="str">
        <f ca="1">IFERROR(INDEX(Roll!$C:$C, MATCH(M70, Roll!$B:$B, 0)), "")</f>
        <v/>
      </c>
      <c r="V70" t="str">
        <f ca="1">IFERROR(INDEX(Roll!$C:$C, MATCH(T70, Roll!$B:$B, 0)), "")</f>
        <v/>
      </c>
    </row>
    <row r="71" spans="15:22" x14ac:dyDescent="0.3">
      <c r="O71" t="str">
        <f ca="1">IFERROR(INDEX(Roll!$C:$C, MATCH(M71, Roll!$B:$B, 0)), "")</f>
        <v/>
      </c>
      <c r="V71" t="str">
        <f ca="1">IFERROR(INDEX(Roll!$C:$C, MATCH(T71, Roll!$B:$B, 0)), "")</f>
        <v/>
      </c>
    </row>
    <row r="72" spans="15:22" x14ac:dyDescent="0.3">
      <c r="O72" t="str">
        <f ca="1">IFERROR(INDEX(Roll!$C:$C, MATCH(M72, Roll!$B:$B, 0)), "")</f>
        <v/>
      </c>
      <c r="V72" t="str">
        <f ca="1">IFERROR(INDEX(Roll!$C:$C, MATCH(T72, Roll!$B:$B, 0)), "")</f>
        <v/>
      </c>
    </row>
    <row r="73" spans="15:22" x14ac:dyDescent="0.3">
      <c r="O73" t="str">
        <f ca="1">IFERROR(INDEX(Roll!$C:$C, MATCH(M73, Roll!$B:$B, 0)), "")</f>
        <v/>
      </c>
      <c r="V73" t="str">
        <f ca="1">IFERROR(INDEX(Roll!$C:$C, MATCH(T73, Roll!$B:$B, 0)), "")</f>
        <v/>
      </c>
    </row>
    <row r="74" spans="15:22" x14ac:dyDescent="0.3">
      <c r="O74" t="str">
        <f ca="1">IFERROR(INDEX(Roll!$C:$C, MATCH(M74, Roll!$B:$B, 0)), "")</f>
        <v/>
      </c>
      <c r="V74" t="str">
        <f ca="1">IFERROR(INDEX(Roll!$C:$C, MATCH(T74, Roll!$B:$B, 0)), "")</f>
        <v/>
      </c>
    </row>
    <row r="75" spans="15:22" x14ac:dyDescent="0.3">
      <c r="O75" t="str">
        <f ca="1">IFERROR(INDEX(Roll!$C:$C, MATCH(M75, Roll!$B:$B, 0)), "")</f>
        <v/>
      </c>
      <c r="V75" t="str">
        <f ca="1">IFERROR(INDEX(Roll!$C:$C, MATCH(T75, Roll!$B:$B, 0)), "")</f>
        <v/>
      </c>
    </row>
    <row r="76" spans="15:22" x14ac:dyDescent="0.3">
      <c r="O76" t="str">
        <f ca="1">IFERROR(INDEX(Roll!$C:$C, MATCH(M76, Roll!$B:$B, 0)), "")</f>
        <v/>
      </c>
      <c r="V76" t="str">
        <f ca="1">IFERROR(INDEX(Roll!$C:$C, MATCH(T76, Roll!$B:$B, 0)), "")</f>
        <v/>
      </c>
    </row>
    <row r="77" spans="15:22" x14ac:dyDescent="0.3">
      <c r="O77" t="str">
        <f ca="1">IFERROR(INDEX(Roll!$C:$C, MATCH(M77, Roll!$B:$B, 0)), "")</f>
        <v/>
      </c>
      <c r="V77" t="str">
        <f ca="1">IFERROR(INDEX(Roll!$C:$C, MATCH(T77, Roll!$B:$B, 0)), "")</f>
        <v/>
      </c>
    </row>
    <row r="78" spans="15:22" x14ac:dyDescent="0.3">
      <c r="O78" t="str">
        <f ca="1">IFERROR(INDEX(Roll!$C:$C, MATCH(M78, Roll!$B:$B, 0)), "")</f>
        <v/>
      </c>
      <c r="V78" t="str">
        <f ca="1">IFERROR(INDEX(Roll!$C:$C, MATCH(T78, Roll!$B:$B, 0)), "")</f>
        <v/>
      </c>
    </row>
    <row r="79" spans="15:22" x14ac:dyDescent="0.3">
      <c r="O79" t="str">
        <f ca="1">IFERROR(INDEX(Roll!$C:$C, MATCH(M79, Roll!$B:$B, 0)), "")</f>
        <v/>
      </c>
      <c r="V79" t="str">
        <f ca="1">IFERROR(INDEX(Roll!$C:$C, MATCH(T79, Roll!$B:$B, 0)), "")</f>
        <v/>
      </c>
    </row>
    <row r="80" spans="15:22" x14ac:dyDescent="0.3">
      <c r="O80" t="str">
        <f ca="1">IFERROR(INDEX(Roll!$C:$C, MATCH(M80, Roll!$B:$B, 0)), "")</f>
        <v/>
      </c>
      <c r="V80" t="str">
        <f ca="1">IFERROR(INDEX(Roll!$C:$C, MATCH(T80, Roll!$B:$B, 0)), "")</f>
        <v/>
      </c>
    </row>
    <row r="81" spans="15:22" x14ac:dyDescent="0.3">
      <c r="O81" t="str">
        <f ca="1">IFERROR(INDEX(Roll!$C:$C, MATCH(M81, Roll!$B:$B, 0)), "")</f>
        <v/>
      </c>
      <c r="V81" t="str">
        <f ca="1">IFERROR(INDEX(Roll!$C:$C, MATCH(T81, Roll!$B:$B, 0)), "")</f>
        <v/>
      </c>
    </row>
    <row r="82" spans="15:22" x14ac:dyDescent="0.3">
      <c r="O82" t="str">
        <f ca="1">IFERROR(INDEX(Roll!$C:$C, MATCH(M82, Roll!$B:$B, 0)), "")</f>
        <v/>
      </c>
      <c r="V82" t="str">
        <f ca="1">IFERROR(INDEX(Roll!$C:$C, MATCH(T82, Roll!$B:$B, 0)), "")</f>
        <v/>
      </c>
    </row>
    <row r="83" spans="15:22" x14ac:dyDescent="0.3">
      <c r="O83" t="str">
        <f ca="1">IFERROR(INDEX(Roll!$C:$C, MATCH(M83, Roll!$B:$B, 0)), "")</f>
        <v/>
      </c>
      <c r="V83" t="str">
        <f ca="1">IFERROR(INDEX(Roll!$C:$C, MATCH(T83, Roll!$B:$B, 0)), "")</f>
        <v/>
      </c>
    </row>
    <row r="84" spans="15:22" x14ac:dyDescent="0.3">
      <c r="O84" t="str">
        <f ca="1">IFERROR(INDEX(Roll!$C:$C, MATCH(M84, Roll!$B:$B, 0)), "")</f>
        <v/>
      </c>
      <c r="V84" t="str">
        <f ca="1">IFERROR(INDEX(Roll!$C:$C, MATCH(T84, Roll!$B:$B, 0)), "")</f>
        <v/>
      </c>
    </row>
    <row r="85" spans="15:22" x14ac:dyDescent="0.3">
      <c r="O85" t="str">
        <f ca="1">IFERROR(INDEX(Roll!$C:$C, MATCH(M85, Roll!$B:$B, 0)), "")</f>
        <v/>
      </c>
      <c r="V85" t="str">
        <f ca="1">IFERROR(INDEX(Roll!$C:$C, MATCH(T85, Roll!$B:$B, 0)), "")</f>
        <v/>
      </c>
    </row>
    <row r="86" spans="15:22" x14ac:dyDescent="0.3">
      <c r="O86" t="str">
        <f ca="1">IFERROR(INDEX(Roll!$C:$C, MATCH(M86, Roll!$B:$B, 0)), "")</f>
        <v/>
      </c>
      <c r="V86" t="str">
        <f ca="1">IFERROR(INDEX(Roll!$C:$C, MATCH(T86, Roll!$B:$B, 0)), "")</f>
        <v/>
      </c>
    </row>
    <row r="87" spans="15:22" x14ac:dyDescent="0.3">
      <c r="O87" t="str">
        <f ca="1">IFERROR(INDEX(Roll!$C:$C, MATCH(M87, Roll!$B:$B, 0)), "")</f>
        <v/>
      </c>
      <c r="V87" t="str">
        <f ca="1">IFERROR(INDEX(Roll!$C:$C, MATCH(T87, Roll!$B:$B, 0)), "")</f>
        <v/>
      </c>
    </row>
    <row r="88" spans="15:22" x14ac:dyDescent="0.3">
      <c r="O88" t="str">
        <f ca="1">IFERROR(INDEX(Roll!$C:$C, MATCH(M88, Roll!$B:$B, 0)), "")</f>
        <v/>
      </c>
      <c r="V88" t="str">
        <f ca="1">IFERROR(INDEX(Roll!$C:$C, MATCH(T88, Roll!$B:$B, 0)), "")</f>
        <v/>
      </c>
    </row>
    <row r="89" spans="15:22" x14ac:dyDescent="0.3">
      <c r="O89" t="str">
        <f ca="1">IFERROR(INDEX(Roll!$C:$C, MATCH(M89, Roll!$B:$B, 0)), "")</f>
        <v/>
      </c>
      <c r="V89" t="str">
        <f ca="1">IFERROR(INDEX(Roll!$C:$C, MATCH(T89, Roll!$B:$B, 0)), "")</f>
        <v/>
      </c>
    </row>
    <row r="90" spans="15:22" x14ac:dyDescent="0.3">
      <c r="O90" t="str">
        <f ca="1">IFERROR(INDEX(Roll!$C:$C, MATCH(M90, Roll!$B:$B, 0)), "")</f>
        <v/>
      </c>
      <c r="V90" t="str">
        <f ca="1">IFERROR(INDEX(Roll!$C:$C, MATCH(T90, Roll!$B:$B, 0)), "")</f>
        <v/>
      </c>
    </row>
    <row r="91" spans="15:22" x14ac:dyDescent="0.3">
      <c r="O91" t="str">
        <f ca="1">IFERROR(INDEX(Roll!$C:$C, MATCH(M91, Roll!$B:$B, 0)), "")</f>
        <v/>
      </c>
      <c r="V91" t="str">
        <f ca="1">IFERROR(INDEX(Roll!$C:$C, MATCH(T91, Roll!$B:$B, 0)), "")</f>
        <v/>
      </c>
    </row>
    <row r="92" spans="15:22" x14ac:dyDescent="0.3">
      <c r="O92" t="str">
        <f ca="1">IFERROR(INDEX(Roll!$C:$C, MATCH(M92, Roll!$B:$B, 0)), "")</f>
        <v/>
      </c>
      <c r="V92" t="str">
        <f ca="1">IFERROR(INDEX(Roll!$C:$C, MATCH(T92, Roll!$B:$B, 0)), "")</f>
        <v/>
      </c>
    </row>
    <row r="93" spans="15:22" x14ac:dyDescent="0.3">
      <c r="O93" t="str">
        <f ca="1">IFERROR(INDEX(Roll!$C:$C, MATCH(M93, Roll!$B:$B, 0)), "")</f>
        <v/>
      </c>
      <c r="V93" t="str">
        <f ca="1">IFERROR(INDEX(Roll!$C:$C, MATCH(T93, Roll!$B:$B, 0)), "")</f>
        <v/>
      </c>
    </row>
    <row r="94" spans="15:22" x14ac:dyDescent="0.3">
      <c r="O94" t="str">
        <f ca="1">IFERROR(INDEX(Roll!$C:$C, MATCH(M94, Roll!$B:$B, 0)), "")</f>
        <v/>
      </c>
      <c r="V94" t="str">
        <f ca="1">IFERROR(INDEX(Roll!$C:$C, MATCH(T94, Roll!$B:$B, 0)), "")</f>
        <v/>
      </c>
    </row>
    <row r="95" spans="15:22" x14ac:dyDescent="0.3">
      <c r="O95" t="str">
        <f ca="1">IFERROR(INDEX(Roll!$C:$C, MATCH(M95, Roll!$B:$B, 0)), "")</f>
        <v/>
      </c>
      <c r="V95" t="str">
        <f ca="1">IFERROR(INDEX(Roll!$C:$C, MATCH(T95, Roll!$B:$B, 0)), "")</f>
        <v/>
      </c>
    </row>
    <row r="96" spans="15:22" x14ac:dyDescent="0.3">
      <c r="O96" t="str">
        <f ca="1">IFERROR(INDEX(Roll!$C:$C, MATCH(M96, Roll!$B:$B, 0)), "")</f>
        <v/>
      </c>
      <c r="V96" t="str">
        <f ca="1">IFERROR(INDEX(Roll!$C:$C, MATCH(T96, Roll!$B:$B, 0)), "")</f>
        <v/>
      </c>
    </row>
    <row r="97" spans="15:22" x14ac:dyDescent="0.3">
      <c r="O97" t="str">
        <f ca="1">IFERROR(INDEX(Roll!$C:$C, MATCH(M97, Roll!$B:$B, 0)), "")</f>
        <v/>
      </c>
      <c r="V97" t="str">
        <f ca="1">IFERROR(INDEX(Roll!$C:$C, MATCH(T97, Roll!$B:$B, 0)), "")</f>
        <v/>
      </c>
    </row>
    <row r="98" spans="15:22" x14ac:dyDescent="0.3">
      <c r="O98" t="str">
        <f ca="1">IFERROR(INDEX(Roll!$C:$C, MATCH(M98, Roll!$B:$B, 0)), "")</f>
        <v/>
      </c>
      <c r="V98" t="str">
        <f ca="1">IFERROR(INDEX(Roll!$C:$C, MATCH(T98, Roll!$B:$B, 0)), "")</f>
        <v/>
      </c>
    </row>
    <row r="99" spans="15:22" x14ac:dyDescent="0.3">
      <c r="O99" t="str">
        <f ca="1">IFERROR(INDEX(Roll!$C:$C, MATCH(M99, Roll!$B:$B, 0)), "")</f>
        <v/>
      </c>
      <c r="V99" t="str">
        <f ca="1">IFERROR(INDEX(Roll!$C:$C, MATCH(T99, Roll!$B:$B, 0)), "")</f>
        <v/>
      </c>
    </row>
    <row r="100" spans="15:22" x14ac:dyDescent="0.3">
      <c r="O100" t="str">
        <f ca="1">IFERROR(INDEX(Roll!$C:$C, MATCH(M100, Roll!$B:$B, 0)), "")</f>
        <v/>
      </c>
      <c r="V100" t="str">
        <f ca="1">IFERROR(INDEX(Roll!$C:$C, MATCH(T100, Roll!$B:$B, 0)), "")</f>
        <v/>
      </c>
    </row>
    <row r="101" spans="15:22" x14ac:dyDescent="0.3">
      <c r="O101" t="str">
        <f ca="1">IFERROR(INDEX(Roll!$C:$C, MATCH(M101, Roll!$B:$B, 0)), "")</f>
        <v/>
      </c>
      <c r="V101" t="str">
        <f ca="1">IFERROR(INDEX(Roll!$C:$C, MATCH(T101, Roll!$B:$B, 0)), "")</f>
        <v/>
      </c>
    </row>
    <row r="102" spans="15:22" x14ac:dyDescent="0.3">
      <c r="O102" t="str">
        <f ca="1">IFERROR(INDEX(Roll!$C:$C, MATCH(M102, Roll!$B:$B, 0)), "")</f>
        <v/>
      </c>
      <c r="V102" t="str">
        <f ca="1">IFERROR(INDEX(Roll!$C:$C, MATCH(T102, Roll!$B:$B, 0)), "")</f>
        <v/>
      </c>
    </row>
    <row r="103" spans="15:22" x14ac:dyDescent="0.3">
      <c r="O103" t="str">
        <f ca="1">IFERROR(INDEX(Roll!$C:$C, MATCH(M103, Roll!$B:$B, 0)), "")</f>
        <v/>
      </c>
      <c r="V103" t="str">
        <f ca="1">IFERROR(INDEX(Roll!$C:$C, MATCH(T103, Roll!$B:$B, 0)), "")</f>
        <v/>
      </c>
    </row>
    <row r="104" spans="15:22" x14ac:dyDescent="0.3">
      <c r="O104" t="str">
        <f ca="1">IFERROR(INDEX(Roll!$C:$C, MATCH(M104, Roll!$B:$B, 0)), "")</f>
        <v/>
      </c>
      <c r="V104" t="str">
        <f ca="1">IFERROR(INDEX(Roll!$C:$C, MATCH(T104, Roll!$B:$B, 0)), "")</f>
        <v/>
      </c>
    </row>
    <row r="105" spans="15:22" x14ac:dyDescent="0.3">
      <c r="O105" t="str">
        <f ca="1">IFERROR(INDEX(Roll!$C:$C, MATCH(M105, Roll!$B:$B, 0)), "")</f>
        <v/>
      </c>
      <c r="V105" t="str">
        <f ca="1">IFERROR(INDEX(Roll!$C:$C, MATCH(T105, Roll!$B:$B, 0)), "")</f>
        <v/>
      </c>
    </row>
    <row r="106" spans="15:22" x14ac:dyDescent="0.3">
      <c r="O106" t="str">
        <f ca="1">IFERROR(INDEX(Roll!$C:$C, MATCH(M106, Roll!$B:$B, 0)), "")</f>
        <v/>
      </c>
      <c r="V106" t="str">
        <f ca="1">IFERROR(INDEX(Roll!$C:$C, MATCH(T106, Roll!$B:$B, 0)), "")</f>
        <v/>
      </c>
    </row>
    <row r="107" spans="15:22" x14ac:dyDescent="0.3">
      <c r="O107" t="str">
        <f ca="1">IFERROR(INDEX(Roll!$C:$C, MATCH(M107, Roll!$B:$B, 0)), "")</f>
        <v/>
      </c>
      <c r="V107" t="str">
        <f ca="1">IFERROR(INDEX(Roll!$C:$C, MATCH(T107, Roll!$B:$B, 0)), "")</f>
        <v/>
      </c>
    </row>
    <row r="108" spans="15:22" x14ac:dyDescent="0.3">
      <c r="O108" t="str">
        <f ca="1">IFERROR(INDEX(Roll!$C:$C, MATCH(M108, Roll!$B:$B, 0)), "")</f>
        <v/>
      </c>
      <c r="V108" t="str">
        <f ca="1">IFERROR(INDEX(Roll!$C:$C, MATCH(T108, Roll!$B:$B, 0)), "")</f>
        <v/>
      </c>
    </row>
    <row r="109" spans="15:22" x14ac:dyDescent="0.3">
      <c r="O109" t="str">
        <f ca="1">IFERROR(INDEX(Roll!$C:$C, MATCH(M109, Roll!$B:$B, 0)), "")</f>
        <v/>
      </c>
      <c r="V109" t="str">
        <f ca="1">IFERROR(INDEX(Roll!$C:$C, MATCH(T109, Roll!$B:$B, 0)), "")</f>
        <v/>
      </c>
    </row>
    <row r="110" spans="15:22" x14ac:dyDescent="0.3">
      <c r="O110" t="str">
        <f ca="1">IFERROR(INDEX(Roll!$C:$C, MATCH(M110, Roll!$B:$B, 0)), "")</f>
        <v/>
      </c>
      <c r="V110" t="str">
        <f ca="1">IFERROR(INDEX(Roll!$C:$C, MATCH(T110, Roll!$B:$B, 0)), "")</f>
        <v/>
      </c>
    </row>
    <row r="111" spans="15:22" x14ac:dyDescent="0.3">
      <c r="O111" t="str">
        <f ca="1">IFERROR(INDEX(Roll!$C:$C, MATCH(M111, Roll!$B:$B, 0)), "")</f>
        <v/>
      </c>
      <c r="V111" t="str">
        <f ca="1">IFERROR(INDEX(Roll!$C:$C, MATCH(T111, Roll!$B:$B, 0)), "")</f>
        <v/>
      </c>
    </row>
    <row r="112" spans="15:22" x14ac:dyDescent="0.3">
      <c r="O112" t="str">
        <f ca="1">IFERROR(INDEX(Roll!$C:$C, MATCH(M112, Roll!$B:$B, 0)), "")</f>
        <v/>
      </c>
      <c r="V112" t="str">
        <f ca="1">IFERROR(INDEX(Roll!$C:$C, MATCH(T112, Roll!$B:$B, 0)), "")</f>
        <v/>
      </c>
    </row>
    <row r="113" spans="15:22" x14ac:dyDescent="0.3">
      <c r="O113" t="str">
        <f ca="1">IFERROR(INDEX(Roll!$C:$C, MATCH(M113, Roll!$B:$B, 0)), "")</f>
        <v/>
      </c>
      <c r="V113" t="str">
        <f ca="1">IFERROR(INDEX(Roll!$C:$C, MATCH(T113, Roll!$B:$B, 0)), "")</f>
        <v/>
      </c>
    </row>
    <row r="114" spans="15:22" x14ac:dyDescent="0.3">
      <c r="O114" t="str">
        <f ca="1">IFERROR(INDEX(Roll!$C:$C, MATCH(M114, Roll!$B:$B, 0)), "")</f>
        <v/>
      </c>
      <c r="V114" t="str">
        <f ca="1">IFERROR(INDEX(Roll!$C:$C, MATCH(T114, Roll!$B:$B, 0)), "")</f>
        <v/>
      </c>
    </row>
    <row r="115" spans="15:22" x14ac:dyDescent="0.3">
      <c r="O115" t="str">
        <f ca="1">IFERROR(INDEX(Roll!$C:$C, MATCH(M115, Roll!$B:$B, 0)), "")</f>
        <v/>
      </c>
      <c r="V115" t="str">
        <f ca="1">IFERROR(INDEX(Roll!$C:$C, MATCH(T115, Roll!$B:$B, 0)), "")</f>
        <v/>
      </c>
    </row>
    <row r="116" spans="15:22" x14ac:dyDescent="0.3">
      <c r="O116" t="str">
        <f ca="1">IFERROR(INDEX(Roll!$C:$C, MATCH(M116, Roll!$B:$B, 0)), "")</f>
        <v/>
      </c>
      <c r="V116" t="str">
        <f ca="1">IFERROR(INDEX(Roll!$C:$C, MATCH(T116, Roll!$B:$B, 0)), "")</f>
        <v/>
      </c>
    </row>
    <row r="117" spans="15:22" x14ac:dyDescent="0.3">
      <c r="O117" t="str">
        <f ca="1">IFERROR(INDEX(Roll!$C:$C, MATCH(M117, Roll!$B:$B, 0)), "")</f>
        <v/>
      </c>
      <c r="V117" t="str">
        <f ca="1">IFERROR(INDEX(Roll!$C:$C, MATCH(T117, Roll!$B:$B, 0)), "")</f>
        <v/>
      </c>
    </row>
    <row r="118" spans="15:22" x14ac:dyDescent="0.3">
      <c r="O118" t="str">
        <f ca="1">IFERROR(INDEX(Roll!$C:$C, MATCH(M118, Roll!$B:$B, 0)), "")</f>
        <v/>
      </c>
      <c r="V118" t="str">
        <f ca="1">IFERROR(INDEX(Roll!$C:$C, MATCH(T118, Roll!$B:$B, 0)), "")</f>
        <v/>
      </c>
    </row>
    <row r="119" spans="15:22" x14ac:dyDescent="0.3">
      <c r="O119" t="str">
        <f ca="1">IFERROR(INDEX(Roll!$C:$C, MATCH(M119, Roll!$B:$B, 0)), "")</f>
        <v/>
      </c>
      <c r="V119" t="str">
        <f ca="1">IFERROR(INDEX(Roll!$C:$C, MATCH(T119, Roll!$B:$B, 0)), "")</f>
        <v/>
      </c>
    </row>
    <row r="120" spans="15:22" x14ac:dyDescent="0.3">
      <c r="O120" t="str">
        <f ca="1">IFERROR(INDEX(Roll!$C:$C, MATCH(M120, Roll!$B:$B, 0)), "")</f>
        <v/>
      </c>
      <c r="V120" t="str">
        <f ca="1">IFERROR(INDEX(Roll!$C:$C, MATCH(T120, Roll!$B:$B, 0)), "")</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1D6EC-976D-43E4-8E97-DC50B068801F}">
  <sheetPr codeName="Sheet19"/>
  <dimension ref="A1:L200"/>
  <sheetViews>
    <sheetView workbookViewId="0">
      <selection activeCell="G25" sqref="G25"/>
    </sheetView>
  </sheetViews>
  <sheetFormatPr defaultColWidth="17.77734375" defaultRowHeight="14.4" x14ac:dyDescent="0.3"/>
  <cols>
    <col min="1" max="1" width="17.77734375" style="25"/>
    <col min="2" max="2" width="16.44140625" style="12" bestFit="1" customWidth="1"/>
    <col min="3" max="3" width="11.21875" style="25" bestFit="1" customWidth="1"/>
    <col min="4" max="4" width="17.21875" style="12" bestFit="1" customWidth="1"/>
    <col min="5" max="5" width="12.77734375" style="25" bestFit="1" customWidth="1"/>
    <col min="6" max="6" width="16.44140625" style="12" bestFit="1" customWidth="1"/>
    <col min="7" max="7" width="17.44140625" style="25" bestFit="1" customWidth="1"/>
    <col min="8" max="8" width="17.21875" style="12" bestFit="1" customWidth="1"/>
    <col min="9" max="9" width="11.5546875" style="25" bestFit="1" customWidth="1"/>
    <col min="10" max="10" width="16.44140625" style="12" bestFit="1" customWidth="1"/>
    <col min="11" max="11" width="13.5546875" style="25" bestFit="1" customWidth="1"/>
    <col min="12" max="12" width="17.21875" style="12" bestFit="1" customWidth="1"/>
    <col min="13" max="16384" width="17.77734375" style="1"/>
  </cols>
  <sheetData>
    <row r="1" spans="1:12" s="9" customFormat="1" x14ac:dyDescent="0.3">
      <c r="A1" s="8"/>
      <c r="B1" s="8"/>
      <c r="C1" s="8"/>
      <c r="E1" s="8"/>
      <c r="F1" s="8"/>
      <c r="G1" s="8"/>
      <c r="I1" s="8"/>
      <c r="J1" s="8"/>
      <c r="K1" s="8"/>
    </row>
    <row r="2" spans="1:12" x14ac:dyDescent="0.3">
      <c r="A2" s="2"/>
      <c r="B2" s="10"/>
      <c r="C2" s="2"/>
      <c r="E2" s="2"/>
      <c r="F2" s="10"/>
      <c r="G2" s="2"/>
      <c r="I2" s="2"/>
      <c r="J2" s="10"/>
      <c r="K2" s="2"/>
    </row>
    <row r="3" spans="1:12" x14ac:dyDescent="0.3">
      <c r="A3" s="2"/>
      <c r="B3" s="10"/>
      <c r="C3" s="2"/>
      <c r="E3" s="2"/>
      <c r="F3" s="10"/>
      <c r="G3" s="2"/>
      <c r="I3" s="2"/>
      <c r="J3" s="10"/>
      <c r="K3" s="2"/>
    </row>
    <row r="4" spans="1:12" x14ac:dyDescent="0.3">
      <c r="A4" s="2"/>
      <c r="B4" s="10"/>
      <c r="C4" s="2"/>
      <c r="E4" s="2"/>
      <c r="F4" s="10"/>
      <c r="G4" s="2"/>
      <c r="I4" s="2"/>
      <c r="J4" s="10"/>
      <c r="K4" s="2"/>
    </row>
    <row r="5" spans="1:12" x14ac:dyDescent="0.3">
      <c r="A5" s="2"/>
      <c r="B5" s="10"/>
      <c r="C5" s="2"/>
      <c r="E5" s="2"/>
      <c r="F5" s="10"/>
      <c r="G5" s="2"/>
      <c r="I5" s="2"/>
      <c r="J5" s="10"/>
      <c r="K5" s="2"/>
    </row>
    <row r="6" spans="1:12" s="9" customFormat="1" x14ac:dyDescent="0.3">
      <c r="A6" s="8"/>
      <c r="B6" s="8"/>
      <c r="C6" s="8"/>
      <c r="E6" s="8"/>
      <c r="F6" s="8"/>
      <c r="G6" s="8"/>
      <c r="I6" s="8"/>
      <c r="J6" s="8"/>
      <c r="K6" s="8"/>
    </row>
    <row r="7" spans="1:12" x14ac:dyDescent="0.3">
      <c r="A7" s="2"/>
      <c r="B7" s="10"/>
      <c r="C7" s="2"/>
      <c r="E7" s="2"/>
      <c r="F7" s="10"/>
      <c r="G7" s="2"/>
      <c r="I7" s="2"/>
      <c r="J7" s="10"/>
      <c r="K7" s="2"/>
    </row>
    <row r="8" spans="1:12" x14ac:dyDescent="0.3">
      <c r="A8" s="2"/>
      <c r="B8" s="10"/>
      <c r="C8" s="2"/>
      <c r="E8" s="2"/>
      <c r="F8" s="10"/>
      <c r="G8" s="2"/>
      <c r="I8" s="2"/>
      <c r="J8" s="10"/>
      <c r="K8" s="2"/>
    </row>
    <row r="9" spans="1:12" x14ac:dyDescent="0.3">
      <c r="A9" s="2"/>
      <c r="B9" s="10"/>
      <c r="C9" s="2"/>
      <c r="E9" s="2"/>
      <c r="F9" s="10"/>
      <c r="G9" s="2"/>
      <c r="I9" s="2"/>
      <c r="J9" s="10"/>
      <c r="K9" s="2"/>
    </row>
    <row r="10" spans="1:12" x14ac:dyDescent="0.3">
      <c r="A10" s="2"/>
      <c r="B10" s="10"/>
      <c r="C10" s="2"/>
      <c r="E10" s="2"/>
      <c r="F10" s="10"/>
      <c r="G10" s="2"/>
      <c r="I10" s="2"/>
      <c r="J10" s="10"/>
      <c r="K10" s="2"/>
    </row>
    <row r="11" spans="1:12" s="9" customFormat="1" x14ac:dyDescent="0.3">
      <c r="A11" s="8"/>
      <c r="B11" s="8"/>
      <c r="C11" s="8"/>
      <c r="E11" s="8"/>
      <c r="F11" s="8"/>
      <c r="G11" s="8"/>
      <c r="I11" s="8"/>
      <c r="J11" s="8"/>
      <c r="K11" s="8"/>
    </row>
    <row r="12" spans="1:12" x14ac:dyDescent="0.3">
      <c r="A12" s="2"/>
      <c r="B12" s="10"/>
      <c r="C12" s="2"/>
      <c r="E12" s="2"/>
      <c r="F12" s="10"/>
      <c r="G12" s="2"/>
      <c r="I12" s="2"/>
      <c r="J12" s="10"/>
      <c r="K12" s="2"/>
    </row>
    <row r="13" spans="1:12" x14ac:dyDescent="0.3">
      <c r="A13" s="2"/>
      <c r="B13" s="10"/>
      <c r="C13" s="2"/>
      <c r="E13" s="2"/>
      <c r="F13" s="10"/>
      <c r="G13" s="2"/>
      <c r="I13" s="2"/>
      <c r="J13" s="10"/>
      <c r="K13" s="2"/>
    </row>
    <row r="14" spans="1:12" x14ac:dyDescent="0.3">
      <c r="A14" s="2"/>
      <c r="B14" s="10"/>
      <c r="C14" s="2"/>
      <c r="E14" s="2"/>
      <c r="F14" s="10"/>
      <c r="G14" s="2"/>
      <c r="I14" s="2"/>
      <c r="J14" s="10"/>
      <c r="K14" s="2"/>
    </row>
    <row r="15" spans="1:12" x14ac:dyDescent="0.3">
      <c r="A15" s="2"/>
      <c r="B15" s="10"/>
      <c r="C15" s="2"/>
      <c r="E15" s="2"/>
      <c r="F15" s="10"/>
      <c r="G15" s="2"/>
      <c r="I15" s="2"/>
      <c r="J15" s="10"/>
      <c r="K15" s="2"/>
    </row>
    <row r="16" spans="1:12" x14ac:dyDescent="0.3">
      <c r="A16" s="1"/>
      <c r="B16" s="1"/>
      <c r="C16" s="1"/>
      <c r="D16" s="1"/>
      <c r="E16" s="1"/>
      <c r="F16" s="1"/>
      <c r="G16" s="1"/>
      <c r="H16" s="1"/>
      <c r="I16" s="1"/>
      <c r="J16" s="1"/>
      <c r="K16" s="1"/>
      <c r="L16" s="1"/>
    </row>
    <row r="17" s="1" customFormat="1" x14ac:dyDescent="0.3"/>
    <row r="18" s="1" customFormat="1" x14ac:dyDescent="0.3"/>
    <row r="19" s="1" customFormat="1" x14ac:dyDescent="0.3"/>
    <row r="20" s="1" customFormat="1" x14ac:dyDescent="0.3"/>
    <row r="21" s="1" customFormat="1" x14ac:dyDescent="0.3"/>
    <row r="22" s="1" customFormat="1" x14ac:dyDescent="0.3"/>
    <row r="23" s="1" customFormat="1" x14ac:dyDescent="0.3"/>
    <row r="24" s="1" customFormat="1" x14ac:dyDescent="0.3"/>
    <row r="25" s="1" customFormat="1" x14ac:dyDescent="0.3"/>
    <row r="26" s="1" customFormat="1" x14ac:dyDescent="0.3"/>
    <row r="27" s="1" customFormat="1" x14ac:dyDescent="0.3"/>
    <row r="28" s="1" customFormat="1" x14ac:dyDescent="0.3"/>
    <row r="29" s="1" customFormat="1" x14ac:dyDescent="0.3"/>
    <row r="30" s="1" customFormat="1" x14ac:dyDescent="0.3"/>
    <row r="31" s="1" customFormat="1" x14ac:dyDescent="0.3"/>
    <row r="32" s="1" customFormat="1" x14ac:dyDescent="0.3"/>
    <row r="33" s="1" customFormat="1" x14ac:dyDescent="0.3"/>
    <row r="34" s="1" customFormat="1" x14ac:dyDescent="0.3"/>
    <row r="35" s="1" customFormat="1" x14ac:dyDescent="0.3"/>
    <row r="36" s="1" customFormat="1" x14ac:dyDescent="0.3"/>
    <row r="37" s="1" customFormat="1" x14ac:dyDescent="0.3"/>
    <row r="38" s="1" customFormat="1" x14ac:dyDescent="0.3"/>
    <row r="39" s="1" customFormat="1" x14ac:dyDescent="0.3"/>
    <row r="40" s="1" customFormat="1" x14ac:dyDescent="0.3"/>
    <row r="41" s="1" customFormat="1" x14ac:dyDescent="0.3"/>
    <row r="42" s="1" customFormat="1" x14ac:dyDescent="0.3"/>
    <row r="43" s="1" customFormat="1" x14ac:dyDescent="0.3"/>
    <row r="44" s="1" customFormat="1" x14ac:dyDescent="0.3"/>
    <row r="45" s="1" customFormat="1" x14ac:dyDescent="0.3"/>
    <row r="46" s="1" customFormat="1" x14ac:dyDescent="0.3"/>
    <row r="47" s="1" customFormat="1" x14ac:dyDescent="0.3"/>
    <row r="48" s="1" customFormat="1" x14ac:dyDescent="0.3"/>
    <row r="49" s="1" customFormat="1" x14ac:dyDescent="0.3"/>
    <row r="50" s="1" customFormat="1" x14ac:dyDescent="0.3"/>
    <row r="51" s="1" customFormat="1" x14ac:dyDescent="0.3"/>
    <row r="52" s="1" customFormat="1" x14ac:dyDescent="0.3"/>
    <row r="53" s="1" customFormat="1" x14ac:dyDescent="0.3"/>
    <row r="54" s="1" customFormat="1" x14ac:dyDescent="0.3"/>
    <row r="55" s="1" customFormat="1" x14ac:dyDescent="0.3"/>
    <row r="56" s="1" customFormat="1" x14ac:dyDescent="0.3"/>
    <row r="57" s="1" customFormat="1" x14ac:dyDescent="0.3"/>
    <row r="58" s="1" customFormat="1" x14ac:dyDescent="0.3"/>
    <row r="59" s="1" customFormat="1" x14ac:dyDescent="0.3"/>
    <row r="60" s="1" customFormat="1" x14ac:dyDescent="0.3"/>
    <row r="61" s="1" customFormat="1" x14ac:dyDescent="0.3"/>
    <row r="62" s="1" customFormat="1" x14ac:dyDescent="0.3"/>
    <row r="63" s="1" customFormat="1" x14ac:dyDescent="0.3"/>
    <row r="64"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1" customFormat="1" x14ac:dyDescent="0.3"/>
    <row r="119" s="1" customFormat="1" x14ac:dyDescent="0.3"/>
    <row r="120" s="1" customFormat="1" x14ac:dyDescent="0.3"/>
    <row r="121" s="1" customFormat="1" x14ac:dyDescent="0.3"/>
    <row r="122" s="1" customFormat="1" x14ac:dyDescent="0.3"/>
    <row r="123" s="1" customFormat="1" x14ac:dyDescent="0.3"/>
    <row r="124" s="1" customFormat="1" x14ac:dyDescent="0.3"/>
    <row r="125" s="1" customFormat="1" x14ac:dyDescent="0.3"/>
    <row r="126" s="1" customFormat="1" x14ac:dyDescent="0.3"/>
    <row r="127" s="1" customFormat="1" x14ac:dyDescent="0.3"/>
    <row r="128" s="1" customFormat="1" x14ac:dyDescent="0.3"/>
    <row r="129" s="1" customFormat="1" x14ac:dyDescent="0.3"/>
    <row r="130" s="1" customFormat="1" x14ac:dyDescent="0.3"/>
    <row r="131" s="1" customFormat="1" x14ac:dyDescent="0.3"/>
    <row r="132" s="1" customFormat="1" x14ac:dyDescent="0.3"/>
    <row r="133" s="1" customFormat="1" x14ac:dyDescent="0.3"/>
    <row r="134" s="1" customFormat="1" x14ac:dyDescent="0.3"/>
    <row r="135" s="1" customFormat="1" x14ac:dyDescent="0.3"/>
    <row r="136" s="1" customFormat="1" x14ac:dyDescent="0.3"/>
    <row r="137" s="1" customFormat="1" x14ac:dyDescent="0.3"/>
    <row r="138" s="1" customFormat="1" x14ac:dyDescent="0.3"/>
    <row r="139" s="1" customFormat="1" x14ac:dyDescent="0.3"/>
    <row r="140" s="1" customFormat="1" x14ac:dyDescent="0.3"/>
    <row r="141" s="1" customFormat="1" x14ac:dyDescent="0.3"/>
    <row r="142" s="1" customFormat="1" x14ac:dyDescent="0.3"/>
    <row r="143" s="1" customFormat="1" x14ac:dyDescent="0.3"/>
    <row r="144" s="1" customFormat="1" x14ac:dyDescent="0.3"/>
    <row r="145" s="1" customFormat="1" x14ac:dyDescent="0.3"/>
    <row r="146" s="1" customFormat="1" x14ac:dyDescent="0.3"/>
    <row r="147" s="1" customFormat="1" x14ac:dyDescent="0.3"/>
    <row r="148" s="1" customFormat="1" x14ac:dyDescent="0.3"/>
    <row r="149" s="1" customFormat="1" x14ac:dyDescent="0.3"/>
    <row r="150" s="1" customFormat="1" x14ac:dyDescent="0.3"/>
    <row r="151" s="1" customFormat="1" x14ac:dyDescent="0.3"/>
    <row r="152" s="1" customFormat="1" x14ac:dyDescent="0.3"/>
    <row r="153" s="1" customFormat="1" x14ac:dyDescent="0.3"/>
    <row r="154" s="1" customFormat="1" x14ac:dyDescent="0.3"/>
    <row r="155" s="1" customFormat="1" x14ac:dyDescent="0.3"/>
    <row r="156" s="1" customFormat="1" x14ac:dyDescent="0.3"/>
    <row r="157" s="1" customFormat="1" x14ac:dyDescent="0.3"/>
    <row r="158" s="1" customFormat="1" x14ac:dyDescent="0.3"/>
    <row r="159" s="1" customFormat="1" x14ac:dyDescent="0.3"/>
    <row r="160" s="1" customFormat="1" x14ac:dyDescent="0.3"/>
    <row r="161" s="1" customFormat="1" x14ac:dyDescent="0.3"/>
    <row r="162" s="1" customFormat="1" x14ac:dyDescent="0.3"/>
    <row r="163" s="1" customFormat="1" x14ac:dyDescent="0.3"/>
    <row r="164" s="1" customFormat="1" x14ac:dyDescent="0.3"/>
    <row r="165" s="1" customFormat="1" x14ac:dyDescent="0.3"/>
    <row r="166" s="1" customFormat="1" x14ac:dyDescent="0.3"/>
    <row r="167" s="1" customFormat="1" x14ac:dyDescent="0.3"/>
    <row r="168" s="1" customFormat="1" x14ac:dyDescent="0.3"/>
    <row r="169" s="1" customFormat="1" x14ac:dyDescent="0.3"/>
    <row r="170" s="1" customFormat="1" x14ac:dyDescent="0.3"/>
    <row r="171" s="1" customFormat="1" x14ac:dyDescent="0.3"/>
    <row r="172" s="1" customFormat="1" x14ac:dyDescent="0.3"/>
    <row r="173" s="1" customFormat="1" x14ac:dyDescent="0.3"/>
    <row r="174" s="1" customFormat="1" x14ac:dyDescent="0.3"/>
    <row r="175" s="1" customFormat="1" x14ac:dyDescent="0.3"/>
    <row r="176" s="1" customFormat="1" x14ac:dyDescent="0.3"/>
    <row r="177" s="1" customFormat="1" x14ac:dyDescent="0.3"/>
    <row r="178" s="1" customFormat="1" x14ac:dyDescent="0.3"/>
    <row r="179" s="1" customFormat="1" x14ac:dyDescent="0.3"/>
    <row r="180" s="1" customFormat="1" x14ac:dyDescent="0.3"/>
    <row r="181" s="1" customFormat="1" x14ac:dyDescent="0.3"/>
    <row r="182" s="1" customFormat="1" x14ac:dyDescent="0.3"/>
    <row r="183" s="1" customFormat="1" x14ac:dyDescent="0.3"/>
    <row r="184" s="1" customFormat="1" x14ac:dyDescent="0.3"/>
    <row r="185" s="1" customFormat="1" x14ac:dyDescent="0.3"/>
    <row r="186" s="1" customFormat="1" x14ac:dyDescent="0.3"/>
    <row r="187" s="1" customFormat="1" x14ac:dyDescent="0.3"/>
    <row r="188" s="1" customFormat="1" x14ac:dyDescent="0.3"/>
    <row r="189" s="1" customFormat="1" x14ac:dyDescent="0.3"/>
    <row r="190" s="1" customFormat="1" x14ac:dyDescent="0.3"/>
    <row r="191" s="1" customFormat="1" x14ac:dyDescent="0.3"/>
    <row r="192" s="1" customFormat="1" x14ac:dyDescent="0.3"/>
    <row r="193" s="1" customFormat="1" x14ac:dyDescent="0.3"/>
    <row r="194" s="1" customFormat="1" x14ac:dyDescent="0.3"/>
    <row r="195" s="1" customFormat="1" x14ac:dyDescent="0.3"/>
    <row r="196" s="1" customFormat="1" x14ac:dyDescent="0.3"/>
    <row r="197" s="1" customFormat="1" x14ac:dyDescent="0.3"/>
    <row r="198" s="1" customFormat="1" x14ac:dyDescent="0.3"/>
    <row r="199" s="1" customFormat="1" x14ac:dyDescent="0.3"/>
    <row r="200" s="1" customFormat="1" x14ac:dyDescent="0.3"/>
  </sheetData>
  <pageMargins left="0.7" right="0.7" top="0.75" bottom="0.75" header="0.3" footer="0.3"/>
  <drawing r:id="rId1"/>
  <legacyDrawing r:id="rId2"/>
  <controls>
    <mc:AlternateContent xmlns:mc="http://schemas.openxmlformats.org/markup-compatibility/2006">
      <mc:Choice Requires="x14">
        <control shapeId="24578" r:id="rId3" name="CommandButton2">
          <controlPr defaultSize="0" autoLine="0" r:id="rId4">
            <anchor moveWithCells="1">
              <from>
                <xdr:col>9</xdr:col>
                <xdr:colOff>762000</xdr:colOff>
                <xdr:row>18</xdr:row>
                <xdr:rowOff>15240</xdr:rowOff>
              </from>
              <to>
                <xdr:col>11</xdr:col>
                <xdr:colOff>83820</xdr:colOff>
                <xdr:row>21</xdr:row>
                <xdr:rowOff>22860</xdr:rowOff>
              </to>
            </anchor>
          </controlPr>
        </control>
      </mc:Choice>
      <mc:Fallback>
        <control shapeId="24578" r:id="rId3" name="CommandButton2"/>
      </mc:Fallback>
    </mc:AlternateContent>
    <mc:AlternateContent xmlns:mc="http://schemas.openxmlformats.org/markup-compatibility/2006">
      <mc:Choice Requires="x14">
        <control shapeId="24577" r:id="rId5" name="CommandButton1">
          <controlPr defaultSize="0" autoLine="0" autoPict="0" r:id="rId6">
            <anchor moveWithCells="1">
              <from>
                <xdr:col>0</xdr:col>
                <xdr:colOff>0</xdr:colOff>
                <xdr:row>18</xdr:row>
                <xdr:rowOff>15240</xdr:rowOff>
              </from>
              <to>
                <xdr:col>1</xdr:col>
                <xdr:colOff>129540</xdr:colOff>
                <xdr:row>21</xdr:row>
                <xdr:rowOff>15240</xdr:rowOff>
              </to>
            </anchor>
          </controlPr>
        </control>
      </mc:Choice>
      <mc:Fallback>
        <control shapeId="24577" r:id="rId5" name="CommandButton1"/>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ADCA5-58F0-4A96-BC62-E6BCF081A9FD}">
  <sheetPr codeName="Sheet20"/>
  <dimension ref="A1:AE120"/>
  <sheetViews>
    <sheetView topLeftCell="R1" workbookViewId="0">
      <selection activeCell="W2" sqref="W2"/>
    </sheetView>
  </sheetViews>
  <sheetFormatPr defaultRowHeight="14.4" x14ac:dyDescent="0.3"/>
  <cols>
    <col min="13" max="13" width="20" customWidth="1"/>
    <col min="14" max="14" width="14.77734375" customWidth="1"/>
    <col min="15" max="15" width="6.77734375" customWidth="1"/>
    <col min="16" max="19" width="11.21875" customWidth="1"/>
    <col min="23" max="23" width="11.21875" customWidth="1"/>
    <col min="28" max="28" width="11.21875" customWidth="1"/>
    <col min="29" max="29" width="17.21875" customWidth="1"/>
  </cols>
  <sheetData>
    <row r="1" spans="1:31" x14ac:dyDescent="0.3">
      <c r="A1" s="8" t="s">
        <v>30</v>
      </c>
      <c r="B1" s="8" t="s">
        <v>34</v>
      </c>
      <c r="C1" s="8" t="s">
        <v>31</v>
      </c>
      <c r="D1" s="9" t="s">
        <v>35</v>
      </c>
      <c r="E1" s="8" t="s">
        <v>30</v>
      </c>
      <c r="F1" s="8" t="s">
        <v>34</v>
      </c>
      <c r="G1" s="8" t="s">
        <v>31</v>
      </c>
      <c r="H1" s="9" t="s">
        <v>35</v>
      </c>
      <c r="I1" s="8" t="s">
        <v>30</v>
      </c>
      <c r="J1" s="8" t="s">
        <v>34</v>
      </c>
      <c r="K1" s="8" t="s">
        <v>31</v>
      </c>
      <c r="L1" s="9" t="s">
        <v>35</v>
      </c>
      <c r="M1" s="6" t="s">
        <v>37</v>
      </c>
      <c r="N1" s="6" t="s">
        <v>38</v>
      </c>
      <c r="O1" s="6" t="s">
        <v>20</v>
      </c>
      <c r="P1" s="6" t="s">
        <v>36</v>
      </c>
      <c r="Q1" s="6" t="s">
        <v>41</v>
      </c>
      <c r="R1" s="6" t="s">
        <v>32</v>
      </c>
      <c r="S1" s="6" t="s">
        <v>42</v>
      </c>
      <c r="T1" s="6" t="s">
        <v>39</v>
      </c>
      <c r="U1" s="6" t="s">
        <v>40</v>
      </c>
      <c r="V1" s="6" t="s">
        <v>20</v>
      </c>
      <c r="W1" s="6" t="s">
        <v>36</v>
      </c>
      <c r="X1" s="6" t="s">
        <v>41</v>
      </c>
      <c r="Y1" s="6" t="s">
        <v>32</v>
      </c>
      <c r="Z1" s="6" t="s">
        <v>42</v>
      </c>
      <c r="AB1" s="6" t="s">
        <v>49</v>
      </c>
      <c r="AC1" s="6" t="s">
        <v>50</v>
      </c>
      <c r="AE1" t="e" cm="1" vm="1">
        <f t="array" aca="1" ref="AE1" ca="1">_xlfn.VSTACK(_xlfn._xlws.FILTER(P:S, (S:S&lt;&gt;"")*(S:S&lt;&gt;"Total Score")*(ISNA(S:S)=FALSE)), _xlfn._xlws.FILTER(W:Z, (X:X&lt;&gt;"")*(X:X&lt;&gt;"Total Score")*(ISNA(X:X)=FALSE)))</f>
        <v>#VALUE!</v>
      </c>
    </row>
    <row r="2" spans="1:31" x14ac:dyDescent="0.3">
      <c r="A2" t="str" cm="1">
        <f t="array" ref="A2">IFERROR(_xlfn._xlws.FILTER('Round 4'!$A:$A, ('Round 4'!$A:$A&lt;&gt;"")*('Round 4'!#REF!&lt;&gt;"Affirmative")), "")</f>
        <v/>
      </c>
      <c r="C2" t="str" cm="1">
        <f t="array" ref="C2">IFERROR(_xlfn._xlws.FILTER('Round 4'!$C:$D, ('Round 4'!$D:$D&lt;&gt;"")*('Round 4'!$C:$C&lt;&gt;"Negative")), "")</f>
        <v/>
      </c>
      <c r="E2" t="str" cm="1">
        <f t="array" ref="E2">IFERROR(_xlfn._xlws.FILTER('Round 4'!$E:$G, ('Round 4'!$G:$G&lt;&gt;"")*('Round 4'!$E:$E&lt;&gt;"Affirmative")), "")</f>
        <v/>
      </c>
      <c r="G2" t="str" cm="1">
        <f t="array" ref="G2">IFERROR(_xlfn._xlws.FILTER('Round 4'!$H:$I, ('Round 4'!$I:$I&lt;&gt;"")*('Round 4'!$H:$H&lt;&gt;"Negative")), "")</f>
        <v/>
      </c>
      <c r="I2" t="str" cm="1">
        <f t="array" ref="I2">IFERROR(_xlfn._xlws.FILTER('Round 4'!$K:$L, ('Round 4'!$L:$L&lt;&gt;"")*('Round 4'!$K:$K&lt;&gt;"Affirmative")), "")</f>
        <v/>
      </c>
      <c r="K2" t="str" cm="1">
        <f t="array" ref="K2">IFERROR(_xlfn._xlws.FILTER('Round 4'!$M:$N, ('Round 4'!$N:$N&lt;&gt;"")*('Round 4'!$M:$M&lt;&gt;"Negative")), "")</f>
        <v/>
      </c>
      <c r="M2" t="str" cm="1">
        <f t="array" ref="M2:M4">IFERROR(_xlfn.VSTACK(_xlfn.ANCHORARRAY(A2),_xlfn.ANCHORARRAY( E2),_xlfn.ANCHORARRAY( I2)), "")</f>
        <v/>
      </c>
      <c r="O2" t="str">
        <f ca="1">IFERROR(INDEX(Roll!$C:$C, MATCH(M2, Roll!$B:$B, 0)), "")</f>
        <v/>
      </c>
      <c r="P2" t="str">
        <f ca="1">IF(O2&lt;&gt;"",IFERROR(MODE(O2:O4), O2), "")</f>
        <v/>
      </c>
      <c r="T2" t="str" cm="1">
        <f t="array" ref="T2:T4">IFERROR(_xlfn.VSTACK(_xlfn.ANCHORARRAY(C2),_xlfn.ANCHORARRAY( G2),_xlfn.ANCHORARRAY( K2)), "")</f>
        <v/>
      </c>
      <c r="V2" t="str">
        <f ca="1">IFERROR(INDEX(Roll!$C:$C, MATCH(T2, Roll!$B:$B, 0)), "")</f>
        <v/>
      </c>
      <c r="W2" t="str">
        <f ca="1">IF(V2&lt;&gt;"",IFERROR(MODE(V2:V4), V2), "")</f>
        <v/>
      </c>
      <c r="AB2" t="e" cm="1">
        <f t="array" ref="AB2">_xlfn.SORTBY(_xlfn.VSTACK(_xlfn.ANCHORARRAY(A2),_xlfn.ANCHORARRAY( C2),_xlfn.ANCHORARRAY( E2),_xlfn.ANCHORARRAY( G2),_xlfn.ANCHORARRAY( I2),_xlfn.ANCHORARRAY( K2)), INDEX(_xlfn.VSTACK(_xlfn.ANCHORARRAY(A2),_xlfn.ANCHORARRAY( C2),_xlfn.ANCHORARRAY( E2),_xlfn.ANCHORARRAY( G2),_xlfn.ANCHORARRAY( I2),_xlfn.ANCHORARRAY( K2)), , 2), -1)</f>
        <v>#REF!</v>
      </c>
    </row>
    <row r="3" spans="1:31" x14ac:dyDescent="0.3">
      <c r="M3" t="str">
        <v/>
      </c>
      <c r="O3" t="str">
        <f ca="1">IFERROR(INDEX(Roll!$C:$C, MATCH(M3, Roll!$B:$B, 0)), "")</f>
        <v/>
      </c>
      <c r="P3" t="str">
        <f ca="1">IF(O3&lt;&gt;"",IFERROR(MODE(O2:O4), O2), "")</f>
        <v/>
      </c>
      <c r="T3" t="str">
        <v/>
      </c>
      <c r="V3" t="str">
        <f ca="1">IFERROR(INDEX(Roll!$C:$C, MATCH(T3, Roll!$B:$B, 0)), "")</f>
        <v/>
      </c>
      <c r="W3" t="str">
        <f ca="1">IF(V3&lt;&gt;"",IFERROR(MODE(V2:V4), V2), "")</f>
        <v/>
      </c>
    </row>
    <row r="4" spans="1:31" x14ac:dyDescent="0.3">
      <c r="M4" t="str">
        <v/>
      </c>
      <c r="O4" t="str">
        <f ca="1">IFERROR(INDEX(Roll!$C:$C, MATCH(M4, Roll!$B:$B, 0)), "")</f>
        <v/>
      </c>
      <c r="P4" t="str">
        <f ca="1">IF(O4&lt;&gt;"",IFERROR(MODE(O2:O4), O2), "")</f>
        <v/>
      </c>
      <c r="Q4" t="str">
        <f>IF(N4&lt;&gt;"", IF(MOD(ROW()-1, 3)=0, SUM(N2:N4), ""), "")</f>
        <v/>
      </c>
      <c r="R4" t="str">
        <f>IFERROR(IF(MOD(ROW()-1, 3)=0, Q4-X4, ""), "")</f>
        <v/>
      </c>
      <c r="S4" t="str">
        <f>IF(N4&lt;&gt;"", IF(MOD(ROW()-1, 3)=0, IF((R4&gt;0), 1, 0), ""), "")</f>
        <v/>
      </c>
      <c r="T4" t="str">
        <v/>
      </c>
      <c r="V4" t="str">
        <f ca="1">IFERROR(INDEX(Roll!$C:$C, MATCH(T4, Roll!$B:$B, 0)), "")</f>
        <v/>
      </c>
      <c r="W4" t="str">
        <f ca="1">IF(V4&lt;&gt;"",IFERROR(MODE(V2:V4), V2), "")</f>
        <v/>
      </c>
      <c r="X4" t="str">
        <f>IF(U4&lt;&gt;"", IF(MOD(ROW()-1, 3)=0, SUM(U2:U4), ""), "")</f>
        <v/>
      </c>
      <c r="Y4" t="str">
        <f>IFERROR(IF(MOD(ROW()-1, 3)=0, X4-Q4, ""), "")</f>
        <v/>
      </c>
      <c r="Z4" t="str">
        <f>IF(U4&lt;&gt;"", IF(MOD(ROW()-1, 3)=0, IF((Y4&gt;0), 1, 0), ""), "")</f>
        <v/>
      </c>
    </row>
    <row r="5" spans="1:31" x14ac:dyDescent="0.3">
      <c r="O5" t="str">
        <f ca="1">IFERROR(INDEX(Roll!$C:$C, MATCH(M5, Roll!$B:$B, 0)), "")</f>
        <v/>
      </c>
      <c r="P5" t="str">
        <f ca="1">IF(O5&lt;&gt;"", IFERROR(MODE(O5:O7), O5), "")</f>
        <v/>
      </c>
      <c r="Q5" t="str">
        <f t="shared" ref="Q5:Q60" si="0">IF(N5&lt;&gt;"", IF(MOD(ROW()-1, 3)=0, SUM(N3:N5), ""), "")</f>
        <v/>
      </c>
      <c r="R5" t="str">
        <f t="shared" ref="R5:R60" si="1">IFERROR(IF(MOD(ROW()-1, 3)=0, Q5-X5, ""), "")</f>
        <v/>
      </c>
      <c r="S5" t="str">
        <f t="shared" ref="S5:S60" si="2">IF(N5&lt;&gt;"", IF(MOD(ROW()-1, 3)=0, IF((R5&gt;0), 1, 0), ""), "")</f>
        <v/>
      </c>
      <c r="V5" t="str">
        <f ca="1">IFERROR(INDEX(Roll!$C:$C, MATCH(T5, Roll!$B:$B, 0)), "")</f>
        <v/>
      </c>
      <c r="W5" t="str">
        <f ca="1">IF(V5&lt;&gt;"", IFERROR(MODE(V5:V7), V5), "")</f>
        <v/>
      </c>
      <c r="X5" t="str">
        <f t="shared" ref="X5:X60" si="3">IF(U5&lt;&gt;"", IF(MOD(ROW()-1, 3)=0, SUM(U3:U5), ""), "")</f>
        <v/>
      </c>
      <c r="Y5" t="str">
        <f t="shared" ref="Y5:Y60" si="4">IFERROR(IF(MOD(ROW()-1, 3)=0, X5-Q5, ""), "")</f>
        <v/>
      </c>
      <c r="Z5" t="str">
        <f t="shared" ref="Z5:Z60" si="5">IF(U5&lt;&gt;"", IF(MOD(ROW()-1, 3)=0, IF((Y5&gt;0), 1, 0), ""), "")</f>
        <v/>
      </c>
    </row>
    <row r="6" spans="1:31" x14ac:dyDescent="0.3">
      <c r="O6" t="str">
        <f ca="1">IFERROR(INDEX(Roll!$C:$C, MATCH(M6, Roll!$B:$B, 0)), "")</f>
        <v/>
      </c>
      <c r="P6" t="str">
        <f ca="1">IF(O6&lt;&gt;"", IFERROR(MODE(O5:O7), O5), "")</f>
        <v/>
      </c>
      <c r="Q6" t="str">
        <f t="shared" si="0"/>
        <v/>
      </c>
      <c r="R6" t="str">
        <f t="shared" si="1"/>
        <v/>
      </c>
      <c r="S6" t="str">
        <f t="shared" si="2"/>
        <v/>
      </c>
      <c r="V6" t="str">
        <f ca="1">IFERROR(INDEX(Roll!$C:$C, MATCH(T6, Roll!$B:$B, 0)), "")</f>
        <v/>
      </c>
      <c r="W6" t="str">
        <f ca="1">IF(V6&lt;&gt;"", IFERROR(MODE(V5:V7), V5), "")</f>
        <v/>
      </c>
      <c r="X6" t="str">
        <f t="shared" si="3"/>
        <v/>
      </c>
      <c r="Y6" t="str">
        <f t="shared" si="4"/>
        <v/>
      </c>
      <c r="Z6" t="str">
        <f t="shared" si="5"/>
        <v/>
      </c>
    </row>
    <row r="7" spans="1:31" x14ac:dyDescent="0.3">
      <c r="O7" t="str">
        <f ca="1">IFERROR(INDEX(Roll!$C:$C, MATCH(M7, Roll!$B:$B, 0)), "")</f>
        <v/>
      </c>
      <c r="P7" t="str">
        <f ca="1">IF(O7&lt;&gt;"", IFERROR(MODE(O5:O7), O5), "")</f>
        <v/>
      </c>
      <c r="Q7" t="str">
        <f t="shared" si="0"/>
        <v/>
      </c>
      <c r="R7" t="str">
        <f t="shared" si="1"/>
        <v/>
      </c>
      <c r="S7" t="str">
        <f t="shared" si="2"/>
        <v/>
      </c>
      <c r="V7" t="str">
        <f ca="1">IFERROR(INDEX(Roll!$C:$C, MATCH(T7, Roll!$B:$B, 0)), "")</f>
        <v/>
      </c>
      <c r="W7" t="str">
        <f ca="1">IF(V7&lt;&gt;"", IFERROR(MODE(V5:V7), V5), "")</f>
        <v/>
      </c>
      <c r="X7" t="str">
        <f t="shared" si="3"/>
        <v/>
      </c>
      <c r="Y7" t="str">
        <f t="shared" si="4"/>
        <v/>
      </c>
      <c r="Z7" t="str">
        <f t="shared" si="5"/>
        <v/>
      </c>
    </row>
    <row r="8" spans="1:31" x14ac:dyDescent="0.3">
      <c r="O8" t="str">
        <f ca="1">IFERROR(INDEX(Roll!$C:$C, MATCH(M8, Roll!$B:$B, 0)), "")</f>
        <v/>
      </c>
      <c r="P8" t="str">
        <f t="shared" ref="P8" ca="1" si="6">IF(O8&lt;&gt;"",IFERROR(MODE(O8:O10), O8), "")</f>
        <v/>
      </c>
      <c r="Q8" t="str">
        <f t="shared" si="0"/>
        <v/>
      </c>
      <c r="R8" t="str">
        <f t="shared" si="1"/>
        <v/>
      </c>
      <c r="S8" t="str">
        <f t="shared" si="2"/>
        <v/>
      </c>
      <c r="V8" t="str">
        <f ca="1">IFERROR(INDEX(Roll!$C:$C, MATCH(T8, Roll!$B:$B, 0)), "")</f>
        <v/>
      </c>
      <c r="W8" t="str">
        <f t="shared" ref="W8" ca="1" si="7">IF(V8&lt;&gt;"",IFERROR(MODE(V8:V10), V8), "")</f>
        <v/>
      </c>
      <c r="X8" t="str">
        <f t="shared" si="3"/>
        <v/>
      </c>
      <c r="Y8" t="str">
        <f t="shared" si="4"/>
        <v/>
      </c>
      <c r="Z8" t="str">
        <f t="shared" si="5"/>
        <v/>
      </c>
    </row>
    <row r="9" spans="1:31" x14ac:dyDescent="0.3">
      <c r="O9" t="str">
        <f ca="1">IFERROR(INDEX(Roll!$C:$C, MATCH(M9, Roll!$B:$B, 0)), "")</f>
        <v/>
      </c>
      <c r="P9" t="str">
        <f t="shared" ref="P9" ca="1" si="8">IF(O9&lt;&gt;"",IFERROR(MODE(O8:O10), O8), "")</f>
        <v/>
      </c>
      <c r="Q9" t="str">
        <f t="shared" si="0"/>
        <v/>
      </c>
      <c r="R9" t="str">
        <f t="shared" si="1"/>
        <v/>
      </c>
      <c r="S9" t="str">
        <f t="shared" si="2"/>
        <v/>
      </c>
      <c r="V9" t="str">
        <f ca="1">IFERROR(INDEX(Roll!$C:$C, MATCH(T9, Roll!$B:$B, 0)), "")</f>
        <v/>
      </c>
      <c r="W9" t="str">
        <f t="shared" ref="W9" ca="1" si="9">IF(V9&lt;&gt;"",IFERROR(MODE(V8:V10), V8), "")</f>
        <v/>
      </c>
      <c r="X9" t="str">
        <f t="shared" si="3"/>
        <v/>
      </c>
      <c r="Y9" t="str">
        <f t="shared" si="4"/>
        <v/>
      </c>
      <c r="Z9" t="str">
        <f t="shared" si="5"/>
        <v/>
      </c>
    </row>
    <row r="10" spans="1:31" x14ac:dyDescent="0.3">
      <c r="O10" t="str">
        <f ca="1">IFERROR(INDEX(Roll!$C:$C, MATCH(M10, Roll!$B:$B, 0)), "")</f>
        <v/>
      </c>
      <c r="P10" t="str">
        <f t="shared" ref="P10" ca="1" si="10">IF(O10&lt;&gt;"",IFERROR(MODE(O8:O10), O8), "")</f>
        <v/>
      </c>
      <c r="Q10" t="str">
        <f t="shared" si="0"/>
        <v/>
      </c>
      <c r="R10" t="str">
        <f t="shared" si="1"/>
        <v/>
      </c>
      <c r="S10" t="str">
        <f t="shared" si="2"/>
        <v/>
      </c>
      <c r="V10" t="str">
        <f ca="1">IFERROR(INDEX(Roll!$C:$C, MATCH(T10, Roll!$B:$B, 0)), "")</f>
        <v/>
      </c>
      <c r="W10" t="str">
        <f t="shared" ref="W10" ca="1" si="11">IF(V10&lt;&gt;"",IFERROR(MODE(V8:V10), V8), "")</f>
        <v/>
      </c>
      <c r="X10" t="str">
        <f t="shared" si="3"/>
        <v/>
      </c>
      <c r="Y10" t="str">
        <f t="shared" si="4"/>
        <v/>
      </c>
      <c r="Z10" t="str">
        <f t="shared" si="5"/>
        <v/>
      </c>
    </row>
    <row r="11" spans="1:31" x14ac:dyDescent="0.3">
      <c r="O11" t="str">
        <f ca="1">IFERROR(INDEX(Roll!$C:$C, MATCH(M11, Roll!$B:$B, 0)), "")</f>
        <v/>
      </c>
      <c r="P11" t="str">
        <f t="shared" ref="P11" ca="1" si="12">IF(O11&lt;&gt;"", IFERROR(MODE(O11:O13), O11), "")</f>
        <v/>
      </c>
      <c r="Q11" t="str">
        <f t="shared" si="0"/>
        <v/>
      </c>
      <c r="R11" t="str">
        <f t="shared" si="1"/>
        <v/>
      </c>
      <c r="S11" t="str">
        <f t="shared" si="2"/>
        <v/>
      </c>
      <c r="V11" t="str">
        <f ca="1">IFERROR(INDEX(Roll!$C:$C, MATCH(T11, Roll!$B:$B, 0)), "")</f>
        <v/>
      </c>
      <c r="W11" t="str">
        <f t="shared" ref="W11" ca="1" si="13">IF(V11&lt;&gt;"", IFERROR(MODE(V11:V13), V11), "")</f>
        <v/>
      </c>
      <c r="X11" t="str">
        <f t="shared" si="3"/>
        <v/>
      </c>
      <c r="Y11" t="str">
        <f t="shared" si="4"/>
        <v/>
      </c>
      <c r="Z11" t="str">
        <f t="shared" si="5"/>
        <v/>
      </c>
    </row>
    <row r="12" spans="1:31" x14ac:dyDescent="0.3">
      <c r="O12" t="str">
        <f ca="1">IFERROR(INDEX(Roll!$C:$C, MATCH(M12, Roll!$B:$B, 0)), "")</f>
        <v/>
      </c>
      <c r="P12" t="str">
        <f t="shared" ref="P12" ca="1" si="14">IF(O12&lt;&gt;"", IFERROR(MODE(O11:O13), O11), "")</f>
        <v/>
      </c>
      <c r="Q12" t="str">
        <f t="shared" si="0"/>
        <v/>
      </c>
      <c r="R12" t="str">
        <f t="shared" si="1"/>
        <v/>
      </c>
      <c r="S12" t="str">
        <f t="shared" si="2"/>
        <v/>
      </c>
      <c r="V12" t="str">
        <f ca="1">IFERROR(INDEX(Roll!$C:$C, MATCH(T12, Roll!$B:$B, 0)), "")</f>
        <v/>
      </c>
      <c r="W12" t="str">
        <f t="shared" ref="W12" ca="1" si="15">IF(V12&lt;&gt;"", IFERROR(MODE(V11:V13), V11), "")</f>
        <v/>
      </c>
      <c r="X12" t="str">
        <f t="shared" si="3"/>
        <v/>
      </c>
      <c r="Y12" t="str">
        <f t="shared" si="4"/>
        <v/>
      </c>
      <c r="Z12" t="str">
        <f t="shared" si="5"/>
        <v/>
      </c>
    </row>
    <row r="13" spans="1:31" x14ac:dyDescent="0.3">
      <c r="O13" t="str">
        <f ca="1">IFERROR(INDEX(Roll!$C:$C, MATCH(M13, Roll!$B:$B, 0)), "")</f>
        <v/>
      </c>
      <c r="P13" t="str">
        <f t="shared" ref="P13" ca="1" si="16">IF(O13&lt;&gt;"", IFERROR(MODE(O11:O13), O11), "")</f>
        <v/>
      </c>
      <c r="Q13" t="str">
        <f t="shared" si="0"/>
        <v/>
      </c>
      <c r="R13" t="str">
        <f t="shared" si="1"/>
        <v/>
      </c>
      <c r="S13" t="str">
        <f t="shared" si="2"/>
        <v/>
      </c>
      <c r="V13" t="str">
        <f ca="1">IFERROR(INDEX(Roll!$C:$C, MATCH(T13, Roll!$B:$B, 0)), "")</f>
        <v/>
      </c>
      <c r="W13" t="str">
        <f t="shared" ref="W13" ca="1" si="17">IF(V13&lt;&gt;"", IFERROR(MODE(V11:V13), V11), "")</f>
        <v/>
      </c>
      <c r="X13" t="str">
        <f t="shared" si="3"/>
        <v/>
      </c>
      <c r="Y13" t="str">
        <f t="shared" si="4"/>
        <v/>
      </c>
      <c r="Z13" t="str">
        <f t="shared" si="5"/>
        <v/>
      </c>
    </row>
    <row r="14" spans="1:31" x14ac:dyDescent="0.3">
      <c r="O14" t="str">
        <f ca="1">IFERROR(INDEX(Roll!$C:$C, MATCH(M14, Roll!$B:$B, 0)), "")</f>
        <v/>
      </c>
      <c r="P14" t="str">
        <f t="shared" ref="P14" ca="1" si="18">IF(O14&lt;&gt;"",IFERROR(MODE(O14:O16), O14), "")</f>
        <v/>
      </c>
      <c r="Q14" t="str">
        <f t="shared" si="0"/>
        <v/>
      </c>
      <c r="R14" t="str">
        <f t="shared" si="1"/>
        <v/>
      </c>
      <c r="S14" t="str">
        <f t="shared" si="2"/>
        <v/>
      </c>
      <c r="V14" t="str">
        <f ca="1">IFERROR(INDEX(Roll!$C:$C, MATCH(T14, Roll!$B:$B, 0)), "")</f>
        <v/>
      </c>
      <c r="W14" t="str">
        <f t="shared" ref="W14" ca="1" si="19">IF(V14&lt;&gt;"",IFERROR(MODE(V14:V16), V14), "")</f>
        <v/>
      </c>
      <c r="X14" t="str">
        <f t="shared" si="3"/>
        <v/>
      </c>
      <c r="Y14" t="str">
        <f t="shared" si="4"/>
        <v/>
      </c>
      <c r="Z14" t="str">
        <f t="shared" si="5"/>
        <v/>
      </c>
    </row>
    <row r="15" spans="1:31" x14ac:dyDescent="0.3">
      <c r="O15" t="str">
        <f ca="1">IFERROR(INDEX(Roll!$C:$C, MATCH(M15, Roll!$B:$B, 0)), "")</f>
        <v/>
      </c>
      <c r="P15" t="str">
        <f t="shared" ref="P15" ca="1" si="20">IF(O15&lt;&gt;"",IFERROR(MODE(O14:O16), O14), "")</f>
        <v/>
      </c>
      <c r="Q15" t="str">
        <f t="shared" si="0"/>
        <v/>
      </c>
      <c r="R15" t="str">
        <f t="shared" si="1"/>
        <v/>
      </c>
      <c r="S15" t="str">
        <f t="shared" si="2"/>
        <v/>
      </c>
      <c r="V15" t="str">
        <f ca="1">IFERROR(INDEX(Roll!$C:$C, MATCH(T15, Roll!$B:$B, 0)), "")</f>
        <v/>
      </c>
      <c r="W15" t="str">
        <f t="shared" ref="W15" ca="1" si="21">IF(V15&lt;&gt;"",IFERROR(MODE(V14:V16), V14), "")</f>
        <v/>
      </c>
      <c r="X15" t="str">
        <f t="shared" si="3"/>
        <v/>
      </c>
      <c r="Y15" t="str">
        <f t="shared" si="4"/>
        <v/>
      </c>
      <c r="Z15" t="str">
        <f t="shared" si="5"/>
        <v/>
      </c>
    </row>
    <row r="16" spans="1:31" x14ac:dyDescent="0.3">
      <c r="O16" t="str">
        <f ca="1">IFERROR(INDEX(Roll!$C:$C, MATCH(M16, Roll!$B:$B, 0)), "")</f>
        <v/>
      </c>
      <c r="P16" t="str">
        <f t="shared" ref="P16" ca="1" si="22">IF(O16&lt;&gt;"",IFERROR(MODE(O14:O16), O14), "")</f>
        <v/>
      </c>
      <c r="Q16" t="str">
        <f t="shared" si="0"/>
        <v/>
      </c>
      <c r="R16" t="str">
        <f t="shared" si="1"/>
        <v/>
      </c>
      <c r="S16" t="str">
        <f t="shared" si="2"/>
        <v/>
      </c>
      <c r="V16" t="str">
        <f ca="1">IFERROR(INDEX(Roll!$C:$C, MATCH(T16, Roll!$B:$B, 0)), "")</f>
        <v/>
      </c>
      <c r="W16" t="str">
        <f t="shared" ref="W16" ca="1" si="23">IF(V16&lt;&gt;"",IFERROR(MODE(V14:V16), V14), "")</f>
        <v/>
      </c>
      <c r="X16" t="str">
        <f t="shared" si="3"/>
        <v/>
      </c>
      <c r="Y16" t="str">
        <f t="shared" si="4"/>
        <v/>
      </c>
      <c r="Z16" t="str">
        <f t="shared" si="5"/>
        <v/>
      </c>
    </row>
    <row r="17" spans="15:26" x14ac:dyDescent="0.3">
      <c r="O17" t="str">
        <f ca="1">IFERROR(INDEX(Roll!$C:$C, MATCH(M17, Roll!$B:$B, 0)), "")</f>
        <v/>
      </c>
      <c r="P17" t="str">
        <f t="shared" ref="P17" ca="1" si="24">IF(O17&lt;&gt;"", IFERROR(MODE(O17:O19), O17), "")</f>
        <v/>
      </c>
      <c r="Q17" t="str">
        <f t="shared" si="0"/>
        <v/>
      </c>
      <c r="R17" t="str">
        <f t="shared" si="1"/>
        <v/>
      </c>
      <c r="S17" t="str">
        <f t="shared" si="2"/>
        <v/>
      </c>
      <c r="V17" t="str">
        <f ca="1">IFERROR(INDEX(Roll!$C:$C, MATCH(T17, Roll!$B:$B, 0)), "")</f>
        <v/>
      </c>
      <c r="W17" t="str">
        <f t="shared" ref="W17" ca="1" si="25">IF(V17&lt;&gt;"", IFERROR(MODE(V17:V19), V17), "")</f>
        <v/>
      </c>
      <c r="X17" t="str">
        <f t="shared" si="3"/>
        <v/>
      </c>
      <c r="Y17" t="str">
        <f t="shared" si="4"/>
        <v/>
      </c>
      <c r="Z17" t="str">
        <f t="shared" si="5"/>
        <v/>
      </c>
    </row>
    <row r="18" spans="15:26" x14ac:dyDescent="0.3">
      <c r="O18" t="str">
        <f ca="1">IFERROR(INDEX(Roll!$C:$C, MATCH(M18, Roll!$B:$B, 0)), "")</f>
        <v/>
      </c>
      <c r="P18" t="str">
        <f t="shared" ref="P18" ca="1" si="26">IF(O18&lt;&gt;"", IFERROR(MODE(O17:O19), O17), "")</f>
        <v/>
      </c>
      <c r="Q18" t="str">
        <f t="shared" si="0"/>
        <v/>
      </c>
      <c r="R18" t="str">
        <f t="shared" si="1"/>
        <v/>
      </c>
      <c r="S18" t="str">
        <f t="shared" si="2"/>
        <v/>
      </c>
      <c r="V18" t="str">
        <f ca="1">IFERROR(INDEX(Roll!$C:$C, MATCH(T18, Roll!$B:$B, 0)), "")</f>
        <v/>
      </c>
      <c r="W18" t="str">
        <f t="shared" ref="W18" ca="1" si="27">IF(V18&lt;&gt;"", IFERROR(MODE(V17:V19), V17), "")</f>
        <v/>
      </c>
      <c r="X18" t="str">
        <f t="shared" si="3"/>
        <v/>
      </c>
      <c r="Y18" t="str">
        <f t="shared" si="4"/>
        <v/>
      </c>
      <c r="Z18" t="str">
        <f t="shared" si="5"/>
        <v/>
      </c>
    </row>
    <row r="19" spans="15:26" x14ac:dyDescent="0.3">
      <c r="O19" t="str">
        <f ca="1">IFERROR(INDEX(Roll!$C:$C, MATCH(M19, Roll!$B:$B, 0)), "")</f>
        <v/>
      </c>
      <c r="P19" t="str">
        <f t="shared" ref="P19" ca="1" si="28">IF(O19&lt;&gt;"", IFERROR(MODE(O17:O19), O17), "")</f>
        <v/>
      </c>
      <c r="Q19" t="str">
        <f t="shared" si="0"/>
        <v/>
      </c>
      <c r="R19" t="str">
        <f t="shared" si="1"/>
        <v/>
      </c>
      <c r="S19" t="str">
        <f t="shared" si="2"/>
        <v/>
      </c>
      <c r="V19" t="str">
        <f ca="1">IFERROR(INDEX(Roll!$C:$C, MATCH(T19, Roll!$B:$B, 0)), "")</f>
        <v/>
      </c>
      <c r="W19" t="str">
        <f t="shared" ref="W19" ca="1" si="29">IF(V19&lt;&gt;"", IFERROR(MODE(V17:V19), V17), "")</f>
        <v/>
      </c>
      <c r="X19" t="str">
        <f t="shared" si="3"/>
        <v/>
      </c>
      <c r="Y19" t="str">
        <f t="shared" si="4"/>
        <v/>
      </c>
      <c r="Z19" t="str">
        <f t="shared" si="5"/>
        <v/>
      </c>
    </row>
    <row r="20" spans="15:26" x14ac:dyDescent="0.3">
      <c r="O20" t="str">
        <f ca="1">IFERROR(INDEX(Roll!$C:$C, MATCH(M20, Roll!$B:$B, 0)), "")</f>
        <v/>
      </c>
      <c r="P20" t="str">
        <f t="shared" ref="P20" ca="1" si="30">IF(O20&lt;&gt;"",IFERROR(MODE(O20:O22), O20), "")</f>
        <v/>
      </c>
      <c r="Q20" t="str">
        <f t="shared" si="0"/>
        <v/>
      </c>
      <c r="R20" t="str">
        <f t="shared" si="1"/>
        <v/>
      </c>
      <c r="S20" t="str">
        <f t="shared" si="2"/>
        <v/>
      </c>
      <c r="V20" t="str">
        <f ca="1">IFERROR(INDEX(Roll!$C:$C, MATCH(T20, Roll!$B:$B, 0)), "")</f>
        <v/>
      </c>
      <c r="W20" t="str">
        <f t="shared" ref="W20:W56" ca="1" si="31">IF(V20&lt;&gt;"",IFERROR(MODE(V20:V22), V20), "")</f>
        <v/>
      </c>
      <c r="X20" t="str">
        <f t="shared" si="3"/>
        <v/>
      </c>
      <c r="Y20" t="str">
        <f t="shared" si="4"/>
        <v/>
      </c>
      <c r="Z20" t="str">
        <f t="shared" si="5"/>
        <v/>
      </c>
    </row>
    <row r="21" spans="15:26" x14ac:dyDescent="0.3">
      <c r="O21" t="str">
        <f ca="1">IFERROR(INDEX(Roll!$C:$C, MATCH(M21, Roll!$B:$B, 0)), "")</f>
        <v/>
      </c>
      <c r="P21" t="str">
        <f t="shared" ref="P21" ca="1" si="32">IF(O21&lt;&gt;"",IFERROR(MODE(O20:O22), O20), "")</f>
        <v/>
      </c>
      <c r="Q21" t="str">
        <f t="shared" si="0"/>
        <v/>
      </c>
      <c r="R21" t="str">
        <f t="shared" si="1"/>
        <v/>
      </c>
      <c r="S21" t="str">
        <f t="shared" si="2"/>
        <v/>
      </c>
      <c r="V21" t="str">
        <f ca="1">IFERROR(INDEX(Roll!$C:$C, MATCH(T21, Roll!$B:$B, 0)), "")</f>
        <v/>
      </c>
      <c r="W21" t="str">
        <f t="shared" ref="W21:W57" ca="1" si="33">IF(V21&lt;&gt;"",IFERROR(MODE(V20:V22), V20), "")</f>
        <v/>
      </c>
      <c r="X21" t="str">
        <f t="shared" si="3"/>
        <v/>
      </c>
      <c r="Y21" t="str">
        <f t="shared" si="4"/>
        <v/>
      </c>
      <c r="Z21" t="str">
        <f t="shared" si="5"/>
        <v/>
      </c>
    </row>
    <row r="22" spans="15:26" x14ac:dyDescent="0.3">
      <c r="O22" t="str">
        <f ca="1">IFERROR(INDEX(Roll!$C:$C, MATCH(M22, Roll!$B:$B, 0)), "")</f>
        <v/>
      </c>
      <c r="P22" t="str">
        <f t="shared" ref="P22" ca="1" si="34">IF(O22&lt;&gt;"",IFERROR(MODE(O20:O22), O20), "")</f>
        <v/>
      </c>
      <c r="Q22" t="str">
        <f t="shared" si="0"/>
        <v/>
      </c>
      <c r="R22" t="str">
        <f t="shared" si="1"/>
        <v/>
      </c>
      <c r="S22" t="str">
        <f t="shared" si="2"/>
        <v/>
      </c>
      <c r="V22" t="str">
        <f ca="1">IFERROR(INDEX(Roll!$C:$C, MATCH(T22, Roll!$B:$B, 0)), "")</f>
        <v/>
      </c>
      <c r="W22" t="str">
        <f t="shared" ref="W22:W58" ca="1" si="35">IF(V22&lt;&gt;"",IFERROR(MODE(V20:V22), V20), "")</f>
        <v/>
      </c>
      <c r="X22" t="str">
        <f t="shared" si="3"/>
        <v/>
      </c>
      <c r="Y22" t="str">
        <f t="shared" si="4"/>
        <v/>
      </c>
      <c r="Z22" t="str">
        <f t="shared" si="5"/>
        <v/>
      </c>
    </row>
    <row r="23" spans="15:26" x14ac:dyDescent="0.3">
      <c r="O23" t="str">
        <f ca="1">IFERROR(INDEX(Roll!$C:$C, MATCH(M23, Roll!$B:$B, 0)), "")</f>
        <v/>
      </c>
      <c r="P23" t="str">
        <f t="shared" ref="P23" ca="1" si="36">IF(O23&lt;&gt;"", IFERROR(MODE(O23:O25), O23), "")</f>
        <v/>
      </c>
      <c r="Q23" t="str">
        <f t="shared" si="0"/>
        <v/>
      </c>
      <c r="R23" t="str">
        <f t="shared" si="1"/>
        <v/>
      </c>
      <c r="S23" t="str">
        <f t="shared" si="2"/>
        <v/>
      </c>
      <c r="V23" t="str">
        <f ca="1">IFERROR(INDEX(Roll!$C:$C, MATCH(T23, Roll!$B:$B, 0)), "")</f>
        <v/>
      </c>
      <c r="W23" t="str">
        <f t="shared" ref="W23:W59" ca="1" si="37">IF(V23&lt;&gt;"", IFERROR(MODE(V23:V25), V23), "")</f>
        <v/>
      </c>
      <c r="X23" t="str">
        <f t="shared" si="3"/>
        <v/>
      </c>
      <c r="Y23" t="str">
        <f t="shared" si="4"/>
        <v/>
      </c>
      <c r="Z23" t="str">
        <f t="shared" si="5"/>
        <v/>
      </c>
    </row>
    <row r="24" spans="15:26" x14ac:dyDescent="0.3">
      <c r="O24" t="str">
        <f ca="1">IFERROR(INDEX(Roll!$C:$C, MATCH(M24, Roll!$B:$B, 0)), "")</f>
        <v/>
      </c>
      <c r="P24" t="str">
        <f t="shared" ref="P24" ca="1" si="38">IF(O24&lt;&gt;"", IFERROR(MODE(O23:O25), O23), "")</f>
        <v/>
      </c>
      <c r="Q24" t="str">
        <f t="shared" si="0"/>
        <v/>
      </c>
      <c r="R24" t="str">
        <f t="shared" si="1"/>
        <v/>
      </c>
      <c r="S24" t="str">
        <f t="shared" si="2"/>
        <v/>
      </c>
      <c r="V24" t="str">
        <f ca="1">IFERROR(INDEX(Roll!$C:$C, MATCH(T24, Roll!$B:$B, 0)), "")</f>
        <v/>
      </c>
      <c r="W24" t="str">
        <f t="shared" ref="W24:W60" ca="1" si="39">IF(V24&lt;&gt;"", IFERROR(MODE(V23:V25), V23), "")</f>
        <v/>
      </c>
      <c r="X24" t="str">
        <f t="shared" si="3"/>
        <v/>
      </c>
      <c r="Y24" t="str">
        <f t="shared" si="4"/>
        <v/>
      </c>
      <c r="Z24" t="str">
        <f t="shared" si="5"/>
        <v/>
      </c>
    </row>
    <row r="25" spans="15:26" x14ac:dyDescent="0.3">
      <c r="O25" t="str">
        <f ca="1">IFERROR(INDEX(Roll!$C:$C, MATCH(M25, Roll!$B:$B, 0)), "")</f>
        <v/>
      </c>
      <c r="P25" t="str">
        <f t="shared" ref="P25" ca="1" si="40">IF(O25&lt;&gt;"", IFERROR(MODE(O23:O25), O23), "")</f>
        <v/>
      </c>
      <c r="Q25" t="str">
        <f t="shared" si="0"/>
        <v/>
      </c>
      <c r="R25" t="str">
        <f t="shared" si="1"/>
        <v/>
      </c>
      <c r="S25" t="str">
        <f t="shared" si="2"/>
        <v/>
      </c>
      <c r="V25" t="str">
        <f ca="1">IFERROR(INDEX(Roll!$C:$C, MATCH(T25, Roll!$B:$B, 0)), "")</f>
        <v/>
      </c>
      <c r="W25" t="str">
        <f t="shared" ref="W25:W49" ca="1" si="41">IF(V25&lt;&gt;"", IFERROR(MODE(V23:V25), V23), "")</f>
        <v/>
      </c>
      <c r="X25" t="str">
        <f t="shared" si="3"/>
        <v/>
      </c>
      <c r="Y25" t="str">
        <f t="shared" si="4"/>
        <v/>
      </c>
      <c r="Z25" t="str">
        <f t="shared" si="5"/>
        <v/>
      </c>
    </row>
    <row r="26" spans="15:26" x14ac:dyDescent="0.3">
      <c r="O26" t="str">
        <f ca="1">IFERROR(INDEX(Roll!$C:$C, MATCH(M26, Roll!$B:$B, 0)), "")</f>
        <v/>
      </c>
      <c r="P26" t="str">
        <f t="shared" ref="P26" ca="1" si="42">IF(O26&lt;&gt;"",IFERROR(MODE(O26:O28), O26), "")</f>
        <v/>
      </c>
      <c r="Q26" t="str">
        <f t="shared" si="0"/>
        <v/>
      </c>
      <c r="R26" t="str">
        <f t="shared" si="1"/>
        <v/>
      </c>
      <c r="S26" t="str">
        <f t="shared" si="2"/>
        <v/>
      </c>
      <c r="V26" t="str">
        <f ca="1">IFERROR(INDEX(Roll!$C:$C, MATCH(T26, Roll!$B:$B, 0)), "")</f>
        <v/>
      </c>
      <c r="W26" t="str">
        <f t="shared" ref="W26" ca="1" si="43">IF(V26&lt;&gt;"",IFERROR(MODE(V26:V28), V26), "")</f>
        <v/>
      </c>
      <c r="X26" t="str">
        <f t="shared" si="3"/>
        <v/>
      </c>
      <c r="Y26" t="str">
        <f t="shared" si="4"/>
        <v/>
      </c>
      <c r="Z26" t="str">
        <f t="shared" si="5"/>
        <v/>
      </c>
    </row>
    <row r="27" spans="15:26" x14ac:dyDescent="0.3">
      <c r="O27" t="str">
        <f ca="1">IFERROR(INDEX(Roll!$C:$C, MATCH(M27, Roll!$B:$B, 0)), "")</f>
        <v/>
      </c>
      <c r="P27" t="str">
        <f t="shared" ref="P27" ca="1" si="44">IF(O27&lt;&gt;"",IFERROR(MODE(O26:O28), O26), "")</f>
        <v/>
      </c>
      <c r="Q27" t="str">
        <f t="shared" si="0"/>
        <v/>
      </c>
      <c r="R27" t="str">
        <f t="shared" si="1"/>
        <v/>
      </c>
      <c r="S27" t="str">
        <f t="shared" si="2"/>
        <v/>
      </c>
      <c r="V27" t="str">
        <f ca="1">IFERROR(INDEX(Roll!$C:$C, MATCH(T27, Roll!$B:$B, 0)), "")</f>
        <v/>
      </c>
      <c r="W27" t="str">
        <f t="shared" ref="W27" ca="1" si="45">IF(V27&lt;&gt;"",IFERROR(MODE(V26:V28), V26), "")</f>
        <v/>
      </c>
      <c r="X27" t="str">
        <f t="shared" si="3"/>
        <v/>
      </c>
      <c r="Y27" t="str">
        <f t="shared" si="4"/>
        <v/>
      </c>
      <c r="Z27" t="str">
        <f t="shared" si="5"/>
        <v/>
      </c>
    </row>
    <row r="28" spans="15:26" x14ac:dyDescent="0.3">
      <c r="O28" t="str">
        <f ca="1">IFERROR(INDEX(Roll!$C:$C, MATCH(M28, Roll!$B:$B, 0)), "")</f>
        <v/>
      </c>
      <c r="P28" t="str">
        <f t="shared" ref="P28" ca="1" si="46">IF(O28&lt;&gt;"",IFERROR(MODE(O26:O28), O26), "")</f>
        <v/>
      </c>
      <c r="Q28" t="str">
        <f t="shared" si="0"/>
        <v/>
      </c>
      <c r="R28" t="str">
        <f t="shared" si="1"/>
        <v/>
      </c>
      <c r="S28" t="str">
        <f t="shared" si="2"/>
        <v/>
      </c>
      <c r="V28" t="str">
        <f ca="1">IFERROR(INDEX(Roll!$C:$C, MATCH(T28, Roll!$B:$B, 0)), "")</f>
        <v/>
      </c>
      <c r="W28" t="str">
        <f t="shared" ref="W28" ca="1" si="47">IF(V28&lt;&gt;"",IFERROR(MODE(V26:V28), V26), "")</f>
        <v/>
      </c>
      <c r="X28" t="str">
        <f t="shared" si="3"/>
        <v/>
      </c>
      <c r="Y28" t="str">
        <f t="shared" si="4"/>
        <v/>
      </c>
      <c r="Z28" t="str">
        <f t="shared" si="5"/>
        <v/>
      </c>
    </row>
    <row r="29" spans="15:26" x14ac:dyDescent="0.3">
      <c r="O29" t="str">
        <f ca="1">IFERROR(INDEX(Roll!$C:$C, MATCH(M29, Roll!$B:$B, 0)), "")</f>
        <v/>
      </c>
      <c r="P29" t="str">
        <f t="shared" ref="P29" ca="1" si="48">IF(O29&lt;&gt;"", IFERROR(MODE(O29:O31), O29), "")</f>
        <v/>
      </c>
      <c r="Q29" t="str">
        <f t="shared" si="0"/>
        <v/>
      </c>
      <c r="R29" t="str">
        <f t="shared" si="1"/>
        <v/>
      </c>
      <c r="S29" t="str">
        <f t="shared" si="2"/>
        <v/>
      </c>
      <c r="V29" t="str">
        <f ca="1">IFERROR(INDEX(Roll!$C:$C, MATCH(T29, Roll!$B:$B, 0)), "")</f>
        <v/>
      </c>
      <c r="W29" t="str">
        <f t="shared" ref="W29" ca="1" si="49">IF(V29&lt;&gt;"", IFERROR(MODE(V29:V31), V29), "")</f>
        <v/>
      </c>
      <c r="X29" t="str">
        <f t="shared" si="3"/>
        <v/>
      </c>
      <c r="Y29" t="str">
        <f t="shared" si="4"/>
        <v/>
      </c>
      <c r="Z29" t="str">
        <f t="shared" si="5"/>
        <v/>
      </c>
    </row>
    <row r="30" spans="15:26" x14ac:dyDescent="0.3">
      <c r="O30" t="str">
        <f ca="1">IFERROR(INDEX(Roll!$C:$C, MATCH(M30, Roll!$B:$B, 0)), "")</f>
        <v/>
      </c>
      <c r="P30" t="str">
        <f t="shared" ref="P30" ca="1" si="50">IF(O30&lt;&gt;"", IFERROR(MODE(O29:O31), O29), "")</f>
        <v/>
      </c>
      <c r="Q30" t="str">
        <f t="shared" si="0"/>
        <v/>
      </c>
      <c r="R30" t="str">
        <f t="shared" si="1"/>
        <v/>
      </c>
      <c r="S30" t="str">
        <f t="shared" si="2"/>
        <v/>
      </c>
      <c r="V30" t="str">
        <f ca="1">IFERROR(INDEX(Roll!$C:$C, MATCH(T30, Roll!$B:$B, 0)), "")</f>
        <v/>
      </c>
      <c r="W30" t="str">
        <f t="shared" ref="W30" ca="1" si="51">IF(V30&lt;&gt;"", IFERROR(MODE(V29:V31), V29), "")</f>
        <v/>
      </c>
      <c r="X30" t="str">
        <f t="shared" si="3"/>
        <v/>
      </c>
      <c r="Y30" t="str">
        <f t="shared" si="4"/>
        <v/>
      </c>
      <c r="Z30" t="str">
        <f t="shared" si="5"/>
        <v/>
      </c>
    </row>
    <row r="31" spans="15:26" x14ac:dyDescent="0.3">
      <c r="O31" t="str">
        <f ca="1">IFERROR(INDEX(Roll!$C:$C, MATCH(M31, Roll!$B:$B, 0)), "")</f>
        <v/>
      </c>
      <c r="P31" t="str">
        <f t="shared" ref="P31" ca="1" si="52">IF(O31&lt;&gt;"", IFERROR(MODE(O29:O31), O29), "")</f>
        <v/>
      </c>
      <c r="Q31" t="str">
        <f t="shared" si="0"/>
        <v/>
      </c>
      <c r="R31" t="str">
        <f t="shared" si="1"/>
        <v/>
      </c>
      <c r="S31" t="str">
        <f t="shared" si="2"/>
        <v/>
      </c>
      <c r="V31" t="str">
        <f ca="1">IFERROR(INDEX(Roll!$C:$C, MATCH(T31, Roll!$B:$B, 0)), "")</f>
        <v/>
      </c>
      <c r="W31" t="str">
        <f t="shared" ref="W31" ca="1" si="53">IF(V31&lt;&gt;"", IFERROR(MODE(V29:V31), V29), "")</f>
        <v/>
      </c>
      <c r="X31" t="str">
        <f t="shared" si="3"/>
        <v/>
      </c>
      <c r="Y31" t="str">
        <f t="shared" si="4"/>
        <v/>
      </c>
      <c r="Z31" t="str">
        <f t="shared" si="5"/>
        <v/>
      </c>
    </row>
    <row r="32" spans="15:26" x14ac:dyDescent="0.3">
      <c r="O32" t="str">
        <f ca="1">IFERROR(INDEX(Roll!$C:$C, MATCH(M32, Roll!$B:$B, 0)), "")</f>
        <v/>
      </c>
      <c r="P32" t="str">
        <f t="shared" ref="P32" ca="1" si="54">IF(O32&lt;&gt;"",IFERROR(MODE(O32:O34), O32), "")</f>
        <v/>
      </c>
      <c r="Q32" t="str">
        <f t="shared" si="0"/>
        <v/>
      </c>
      <c r="R32" t="str">
        <f t="shared" si="1"/>
        <v/>
      </c>
      <c r="S32" t="str">
        <f t="shared" si="2"/>
        <v/>
      </c>
      <c r="V32" t="str">
        <f ca="1">IFERROR(INDEX(Roll!$C:$C, MATCH(T32, Roll!$B:$B, 0)), "")</f>
        <v/>
      </c>
      <c r="W32" t="str">
        <f t="shared" ca="1" si="31"/>
        <v/>
      </c>
      <c r="X32" t="str">
        <f t="shared" si="3"/>
        <v/>
      </c>
      <c r="Y32" t="str">
        <f t="shared" si="4"/>
        <v/>
      </c>
      <c r="Z32" t="str">
        <f t="shared" si="5"/>
        <v/>
      </c>
    </row>
    <row r="33" spans="15:26" x14ac:dyDescent="0.3">
      <c r="O33" t="str">
        <f ca="1">IFERROR(INDEX(Roll!$C:$C, MATCH(M33, Roll!$B:$B, 0)), "")</f>
        <v/>
      </c>
      <c r="P33" t="str">
        <f t="shared" ref="P33" ca="1" si="55">IF(O33&lt;&gt;"",IFERROR(MODE(O32:O34), O32), "")</f>
        <v/>
      </c>
      <c r="Q33" t="str">
        <f t="shared" si="0"/>
        <v/>
      </c>
      <c r="R33" t="str">
        <f t="shared" si="1"/>
        <v/>
      </c>
      <c r="S33" t="str">
        <f t="shared" si="2"/>
        <v/>
      </c>
      <c r="V33" t="str">
        <f ca="1">IFERROR(INDEX(Roll!$C:$C, MATCH(T33, Roll!$B:$B, 0)), "")</f>
        <v/>
      </c>
      <c r="W33" t="str">
        <f t="shared" ca="1" si="33"/>
        <v/>
      </c>
      <c r="X33" t="str">
        <f t="shared" si="3"/>
        <v/>
      </c>
      <c r="Y33" t="str">
        <f t="shared" si="4"/>
        <v/>
      </c>
      <c r="Z33" t="str">
        <f t="shared" si="5"/>
        <v/>
      </c>
    </row>
    <row r="34" spans="15:26" x14ac:dyDescent="0.3">
      <c r="O34" t="str">
        <f ca="1">IFERROR(INDEX(Roll!$C:$C, MATCH(M34, Roll!$B:$B, 0)), "")</f>
        <v/>
      </c>
      <c r="P34" t="str">
        <f t="shared" ref="P34" ca="1" si="56">IF(O34&lt;&gt;"",IFERROR(MODE(O32:O34), O32), "")</f>
        <v/>
      </c>
      <c r="Q34" t="str">
        <f t="shared" si="0"/>
        <v/>
      </c>
      <c r="R34" t="str">
        <f t="shared" si="1"/>
        <v/>
      </c>
      <c r="S34" t="str">
        <f t="shared" si="2"/>
        <v/>
      </c>
      <c r="V34" t="str">
        <f ca="1">IFERROR(INDEX(Roll!$C:$C, MATCH(T34, Roll!$B:$B, 0)), "")</f>
        <v/>
      </c>
      <c r="W34" t="str">
        <f t="shared" ca="1" si="35"/>
        <v/>
      </c>
      <c r="X34" t="str">
        <f t="shared" si="3"/>
        <v/>
      </c>
      <c r="Y34" t="str">
        <f t="shared" si="4"/>
        <v/>
      </c>
      <c r="Z34" t="str">
        <f t="shared" si="5"/>
        <v/>
      </c>
    </row>
    <row r="35" spans="15:26" x14ac:dyDescent="0.3">
      <c r="O35" t="str">
        <f ca="1">IFERROR(INDEX(Roll!$C:$C, MATCH(M35, Roll!$B:$B, 0)), "")</f>
        <v/>
      </c>
      <c r="P35" t="str">
        <f t="shared" ref="P35" ca="1" si="57">IF(O35&lt;&gt;"", IFERROR(MODE(O35:O37), O35), "")</f>
        <v/>
      </c>
      <c r="Q35" t="str">
        <f t="shared" si="0"/>
        <v/>
      </c>
      <c r="R35" t="str">
        <f t="shared" si="1"/>
        <v/>
      </c>
      <c r="S35" t="str">
        <f t="shared" si="2"/>
        <v/>
      </c>
      <c r="V35" t="str">
        <f ca="1">IFERROR(INDEX(Roll!$C:$C, MATCH(T35, Roll!$B:$B, 0)), "")</f>
        <v/>
      </c>
      <c r="W35" t="str">
        <f t="shared" ca="1" si="37"/>
        <v/>
      </c>
      <c r="X35" t="str">
        <f t="shared" si="3"/>
        <v/>
      </c>
      <c r="Y35" t="str">
        <f t="shared" si="4"/>
        <v/>
      </c>
      <c r="Z35" t="str">
        <f t="shared" si="5"/>
        <v/>
      </c>
    </row>
    <row r="36" spans="15:26" x14ac:dyDescent="0.3">
      <c r="O36" t="str">
        <f ca="1">IFERROR(INDEX(Roll!$C:$C, MATCH(M36, Roll!$B:$B, 0)), "")</f>
        <v/>
      </c>
      <c r="P36" t="str">
        <f t="shared" ref="P36" ca="1" si="58">IF(O36&lt;&gt;"", IFERROR(MODE(O35:O37), O35), "")</f>
        <v/>
      </c>
      <c r="Q36" t="str">
        <f t="shared" si="0"/>
        <v/>
      </c>
      <c r="R36" t="str">
        <f t="shared" si="1"/>
        <v/>
      </c>
      <c r="S36" t="str">
        <f t="shared" si="2"/>
        <v/>
      </c>
      <c r="V36" t="str">
        <f ca="1">IFERROR(INDEX(Roll!$C:$C, MATCH(T36, Roll!$B:$B, 0)), "")</f>
        <v/>
      </c>
      <c r="W36" t="str">
        <f t="shared" ca="1" si="39"/>
        <v/>
      </c>
      <c r="X36" t="str">
        <f t="shared" si="3"/>
        <v/>
      </c>
      <c r="Y36" t="str">
        <f t="shared" si="4"/>
        <v/>
      </c>
      <c r="Z36" t="str">
        <f t="shared" si="5"/>
        <v/>
      </c>
    </row>
    <row r="37" spans="15:26" x14ac:dyDescent="0.3">
      <c r="O37" t="str">
        <f ca="1">IFERROR(INDEX(Roll!$C:$C, MATCH(M37, Roll!$B:$B, 0)), "")</f>
        <v/>
      </c>
      <c r="P37" t="str">
        <f t="shared" ref="P37" ca="1" si="59">IF(O37&lt;&gt;"", IFERROR(MODE(O35:O37), O35), "")</f>
        <v/>
      </c>
      <c r="Q37" t="str">
        <f t="shared" si="0"/>
        <v/>
      </c>
      <c r="R37" t="str">
        <f t="shared" si="1"/>
        <v/>
      </c>
      <c r="S37" t="str">
        <f t="shared" si="2"/>
        <v/>
      </c>
      <c r="V37" t="str">
        <f ca="1">IFERROR(INDEX(Roll!$C:$C, MATCH(T37, Roll!$B:$B, 0)), "")</f>
        <v/>
      </c>
      <c r="W37" t="str">
        <f t="shared" ca="1" si="41"/>
        <v/>
      </c>
      <c r="X37" t="str">
        <f t="shared" si="3"/>
        <v/>
      </c>
      <c r="Y37" t="str">
        <f t="shared" si="4"/>
        <v/>
      </c>
      <c r="Z37" t="str">
        <f t="shared" si="5"/>
        <v/>
      </c>
    </row>
    <row r="38" spans="15:26" x14ac:dyDescent="0.3">
      <c r="O38" t="str">
        <f ca="1">IFERROR(INDEX(Roll!$C:$C, MATCH(M38, Roll!$B:$B, 0)), "")</f>
        <v/>
      </c>
      <c r="P38" t="str">
        <f t="shared" ref="P38" ca="1" si="60">IF(O38&lt;&gt;"",IFERROR(MODE(O38:O40), O38), "")</f>
        <v/>
      </c>
      <c r="Q38" t="str">
        <f t="shared" si="0"/>
        <v/>
      </c>
      <c r="R38" t="str">
        <f t="shared" si="1"/>
        <v/>
      </c>
      <c r="S38" t="str">
        <f t="shared" si="2"/>
        <v/>
      </c>
      <c r="V38" t="str">
        <f ca="1">IFERROR(INDEX(Roll!$C:$C, MATCH(T38, Roll!$B:$B, 0)), "")</f>
        <v/>
      </c>
      <c r="W38" t="str">
        <f t="shared" ref="W38" ca="1" si="61">IF(V38&lt;&gt;"",IFERROR(MODE(V38:V40), V38), "")</f>
        <v/>
      </c>
      <c r="X38" t="str">
        <f t="shared" si="3"/>
        <v/>
      </c>
      <c r="Y38" t="str">
        <f t="shared" si="4"/>
        <v/>
      </c>
      <c r="Z38" t="str">
        <f t="shared" si="5"/>
        <v/>
      </c>
    </row>
    <row r="39" spans="15:26" x14ac:dyDescent="0.3">
      <c r="O39" t="str">
        <f ca="1">IFERROR(INDEX(Roll!$C:$C, MATCH(M39, Roll!$B:$B, 0)), "")</f>
        <v/>
      </c>
      <c r="P39" t="str">
        <f t="shared" ref="P39" ca="1" si="62">IF(O39&lt;&gt;"",IFERROR(MODE(O38:O40), O38), "")</f>
        <v/>
      </c>
      <c r="Q39" t="str">
        <f t="shared" si="0"/>
        <v/>
      </c>
      <c r="R39" t="str">
        <f t="shared" si="1"/>
        <v/>
      </c>
      <c r="S39" t="str">
        <f t="shared" si="2"/>
        <v/>
      </c>
      <c r="V39" t="str">
        <f ca="1">IFERROR(INDEX(Roll!$C:$C, MATCH(T39, Roll!$B:$B, 0)), "")</f>
        <v/>
      </c>
      <c r="W39" t="str">
        <f t="shared" ref="W39" ca="1" si="63">IF(V39&lt;&gt;"",IFERROR(MODE(V38:V40), V38), "")</f>
        <v/>
      </c>
      <c r="X39" t="str">
        <f t="shared" si="3"/>
        <v/>
      </c>
      <c r="Y39" t="str">
        <f t="shared" si="4"/>
        <v/>
      </c>
      <c r="Z39" t="str">
        <f t="shared" si="5"/>
        <v/>
      </c>
    </row>
    <row r="40" spans="15:26" x14ac:dyDescent="0.3">
      <c r="O40" t="str">
        <f ca="1">IFERROR(INDEX(Roll!$C:$C, MATCH(M40, Roll!$B:$B, 0)), "")</f>
        <v/>
      </c>
      <c r="P40" t="str">
        <f t="shared" ref="P40" ca="1" si="64">IF(O40&lt;&gt;"",IFERROR(MODE(O38:O40), O38), "")</f>
        <v/>
      </c>
      <c r="Q40" t="str">
        <f t="shared" si="0"/>
        <v/>
      </c>
      <c r="R40" t="str">
        <f t="shared" si="1"/>
        <v/>
      </c>
      <c r="S40" t="str">
        <f t="shared" si="2"/>
        <v/>
      </c>
      <c r="V40" t="str">
        <f ca="1">IFERROR(INDEX(Roll!$C:$C, MATCH(T40, Roll!$B:$B, 0)), "")</f>
        <v/>
      </c>
      <c r="W40" t="str">
        <f t="shared" ref="W40" ca="1" si="65">IF(V40&lt;&gt;"",IFERROR(MODE(V38:V40), V38), "")</f>
        <v/>
      </c>
      <c r="X40" t="str">
        <f t="shared" si="3"/>
        <v/>
      </c>
      <c r="Y40" t="str">
        <f t="shared" si="4"/>
        <v/>
      </c>
      <c r="Z40" t="str">
        <f t="shared" si="5"/>
        <v/>
      </c>
    </row>
    <row r="41" spans="15:26" x14ac:dyDescent="0.3">
      <c r="O41" t="str">
        <f ca="1">IFERROR(INDEX(Roll!$C:$C, MATCH(M41, Roll!$B:$B, 0)), "")</f>
        <v/>
      </c>
      <c r="P41" t="str">
        <f t="shared" ref="P41" ca="1" si="66">IF(O41&lt;&gt;"", IFERROR(MODE(O41:O43), O41), "")</f>
        <v/>
      </c>
      <c r="Q41" t="str">
        <f t="shared" si="0"/>
        <v/>
      </c>
      <c r="R41" t="str">
        <f t="shared" si="1"/>
        <v/>
      </c>
      <c r="S41" t="str">
        <f t="shared" si="2"/>
        <v/>
      </c>
      <c r="V41" t="str">
        <f ca="1">IFERROR(INDEX(Roll!$C:$C, MATCH(T41, Roll!$B:$B, 0)), "")</f>
        <v/>
      </c>
      <c r="W41" t="str">
        <f t="shared" ref="W41" ca="1" si="67">IF(V41&lt;&gt;"", IFERROR(MODE(V41:V43), V41), "")</f>
        <v/>
      </c>
      <c r="X41" t="str">
        <f t="shared" si="3"/>
        <v/>
      </c>
      <c r="Y41" t="str">
        <f t="shared" si="4"/>
        <v/>
      </c>
      <c r="Z41" t="str">
        <f t="shared" si="5"/>
        <v/>
      </c>
    </row>
    <row r="42" spans="15:26" x14ac:dyDescent="0.3">
      <c r="O42" t="str">
        <f ca="1">IFERROR(INDEX(Roll!$C:$C, MATCH(M42, Roll!$B:$B, 0)), "")</f>
        <v/>
      </c>
      <c r="P42" t="str">
        <f t="shared" ref="P42" ca="1" si="68">IF(O42&lt;&gt;"", IFERROR(MODE(O41:O43), O41), "")</f>
        <v/>
      </c>
      <c r="Q42" t="str">
        <f t="shared" si="0"/>
        <v/>
      </c>
      <c r="R42" t="str">
        <f t="shared" si="1"/>
        <v/>
      </c>
      <c r="S42" t="str">
        <f t="shared" si="2"/>
        <v/>
      </c>
      <c r="V42" t="str">
        <f ca="1">IFERROR(INDEX(Roll!$C:$C, MATCH(T42, Roll!$B:$B, 0)), "")</f>
        <v/>
      </c>
      <c r="W42" t="str">
        <f t="shared" ref="W42" ca="1" si="69">IF(V42&lt;&gt;"", IFERROR(MODE(V41:V43), V41), "")</f>
        <v/>
      </c>
      <c r="X42" t="str">
        <f t="shared" si="3"/>
        <v/>
      </c>
      <c r="Y42" t="str">
        <f t="shared" si="4"/>
        <v/>
      </c>
      <c r="Z42" t="str">
        <f t="shared" si="5"/>
        <v/>
      </c>
    </row>
    <row r="43" spans="15:26" x14ac:dyDescent="0.3">
      <c r="O43" t="str">
        <f ca="1">IFERROR(INDEX(Roll!$C:$C, MATCH(M43, Roll!$B:$B, 0)), "")</f>
        <v/>
      </c>
      <c r="P43" t="str">
        <f t="shared" ref="P43" ca="1" si="70">IF(O43&lt;&gt;"", IFERROR(MODE(O41:O43), O41), "")</f>
        <v/>
      </c>
      <c r="Q43" t="str">
        <f t="shared" si="0"/>
        <v/>
      </c>
      <c r="R43" t="str">
        <f t="shared" si="1"/>
        <v/>
      </c>
      <c r="S43" t="str">
        <f t="shared" si="2"/>
        <v/>
      </c>
      <c r="V43" t="str">
        <f ca="1">IFERROR(INDEX(Roll!$C:$C, MATCH(T43, Roll!$B:$B, 0)), "")</f>
        <v/>
      </c>
      <c r="W43" t="str">
        <f t="shared" ref="W43" ca="1" si="71">IF(V43&lt;&gt;"", IFERROR(MODE(V41:V43), V41), "")</f>
        <v/>
      </c>
      <c r="X43" t="str">
        <f t="shared" si="3"/>
        <v/>
      </c>
      <c r="Y43" t="str">
        <f t="shared" si="4"/>
        <v/>
      </c>
      <c r="Z43" t="str">
        <f t="shared" si="5"/>
        <v/>
      </c>
    </row>
    <row r="44" spans="15:26" x14ac:dyDescent="0.3">
      <c r="O44" t="str">
        <f ca="1">IFERROR(INDEX(Roll!$C:$C, MATCH(M44, Roll!$B:$B, 0)), "")</f>
        <v/>
      </c>
      <c r="P44" t="str">
        <f t="shared" ref="P44" ca="1" si="72">IF(O44&lt;&gt;"",IFERROR(MODE(O44:O46), O44), "")</f>
        <v/>
      </c>
      <c r="Q44" t="str">
        <f t="shared" si="0"/>
        <v/>
      </c>
      <c r="R44" t="str">
        <f t="shared" si="1"/>
        <v/>
      </c>
      <c r="S44" t="str">
        <f t="shared" si="2"/>
        <v/>
      </c>
      <c r="V44" t="str">
        <f ca="1">IFERROR(INDEX(Roll!$C:$C, MATCH(T44, Roll!$B:$B, 0)), "")</f>
        <v/>
      </c>
      <c r="W44" t="str">
        <f t="shared" ca="1" si="31"/>
        <v/>
      </c>
      <c r="X44" t="str">
        <f t="shared" si="3"/>
        <v/>
      </c>
      <c r="Y44" t="str">
        <f t="shared" si="4"/>
        <v/>
      </c>
      <c r="Z44" t="str">
        <f t="shared" si="5"/>
        <v/>
      </c>
    </row>
    <row r="45" spans="15:26" x14ac:dyDescent="0.3">
      <c r="O45" t="str">
        <f ca="1">IFERROR(INDEX(Roll!$C:$C, MATCH(M45, Roll!$B:$B, 0)), "")</f>
        <v/>
      </c>
      <c r="P45" t="str">
        <f t="shared" ref="P45" ca="1" si="73">IF(O45&lt;&gt;"",IFERROR(MODE(O44:O46), O44), "")</f>
        <v/>
      </c>
      <c r="Q45" t="str">
        <f t="shared" si="0"/>
        <v/>
      </c>
      <c r="R45" t="str">
        <f t="shared" si="1"/>
        <v/>
      </c>
      <c r="S45" t="str">
        <f t="shared" si="2"/>
        <v/>
      </c>
      <c r="V45" t="str">
        <f ca="1">IFERROR(INDEX(Roll!$C:$C, MATCH(T45, Roll!$B:$B, 0)), "")</f>
        <v/>
      </c>
      <c r="W45" t="str">
        <f t="shared" ca="1" si="33"/>
        <v/>
      </c>
      <c r="X45" t="str">
        <f t="shared" si="3"/>
        <v/>
      </c>
      <c r="Y45" t="str">
        <f t="shared" si="4"/>
        <v/>
      </c>
      <c r="Z45" t="str">
        <f t="shared" si="5"/>
        <v/>
      </c>
    </row>
    <row r="46" spans="15:26" x14ac:dyDescent="0.3">
      <c r="O46" t="str">
        <f ca="1">IFERROR(INDEX(Roll!$C:$C, MATCH(M46, Roll!$B:$B, 0)), "")</f>
        <v/>
      </c>
      <c r="P46" t="str">
        <f t="shared" ref="P46" ca="1" si="74">IF(O46&lt;&gt;"",IFERROR(MODE(O44:O46), O44), "")</f>
        <v/>
      </c>
      <c r="Q46" t="str">
        <f t="shared" si="0"/>
        <v/>
      </c>
      <c r="R46" t="str">
        <f t="shared" si="1"/>
        <v/>
      </c>
      <c r="S46" t="str">
        <f t="shared" si="2"/>
        <v/>
      </c>
      <c r="V46" t="str">
        <f ca="1">IFERROR(INDEX(Roll!$C:$C, MATCH(T46, Roll!$B:$B, 0)), "")</f>
        <v/>
      </c>
      <c r="W46" t="str">
        <f t="shared" ca="1" si="35"/>
        <v/>
      </c>
      <c r="X46" t="str">
        <f t="shared" si="3"/>
        <v/>
      </c>
      <c r="Y46" t="str">
        <f t="shared" si="4"/>
        <v/>
      </c>
      <c r="Z46" t="str">
        <f t="shared" si="5"/>
        <v/>
      </c>
    </row>
    <row r="47" spans="15:26" x14ac:dyDescent="0.3">
      <c r="O47" t="str">
        <f ca="1">IFERROR(INDEX(Roll!$C:$C, MATCH(M47, Roll!$B:$B, 0)), "")</f>
        <v/>
      </c>
      <c r="P47" t="str">
        <f t="shared" ref="P47" ca="1" si="75">IF(O47&lt;&gt;"", IFERROR(MODE(O47:O49), O47), "")</f>
        <v/>
      </c>
      <c r="Q47" t="str">
        <f t="shared" si="0"/>
        <v/>
      </c>
      <c r="R47" t="str">
        <f t="shared" si="1"/>
        <v/>
      </c>
      <c r="S47" t="str">
        <f t="shared" si="2"/>
        <v/>
      </c>
      <c r="V47" t="str">
        <f ca="1">IFERROR(INDEX(Roll!$C:$C, MATCH(T47, Roll!$B:$B, 0)), "")</f>
        <v/>
      </c>
      <c r="W47" t="str">
        <f t="shared" ca="1" si="37"/>
        <v/>
      </c>
      <c r="X47" t="str">
        <f t="shared" si="3"/>
        <v/>
      </c>
      <c r="Y47" t="str">
        <f t="shared" si="4"/>
        <v/>
      </c>
      <c r="Z47" t="str">
        <f t="shared" si="5"/>
        <v/>
      </c>
    </row>
    <row r="48" spans="15:26" x14ac:dyDescent="0.3">
      <c r="O48" t="str">
        <f ca="1">IFERROR(INDEX(Roll!$C:$C, MATCH(M48, Roll!$B:$B, 0)), "")</f>
        <v/>
      </c>
      <c r="P48" t="str">
        <f t="shared" ref="P48" ca="1" si="76">IF(O48&lt;&gt;"", IFERROR(MODE(O47:O49), O47), "")</f>
        <v/>
      </c>
      <c r="Q48" t="str">
        <f t="shared" si="0"/>
        <v/>
      </c>
      <c r="R48" t="str">
        <f t="shared" si="1"/>
        <v/>
      </c>
      <c r="S48" t="str">
        <f t="shared" si="2"/>
        <v/>
      </c>
      <c r="V48" t="str">
        <f ca="1">IFERROR(INDEX(Roll!$C:$C, MATCH(T48, Roll!$B:$B, 0)), "")</f>
        <v/>
      </c>
      <c r="W48" t="str">
        <f t="shared" ca="1" si="39"/>
        <v/>
      </c>
      <c r="X48" t="str">
        <f t="shared" si="3"/>
        <v/>
      </c>
      <c r="Y48" t="str">
        <f t="shared" si="4"/>
        <v/>
      </c>
      <c r="Z48" t="str">
        <f t="shared" si="5"/>
        <v/>
      </c>
    </row>
    <row r="49" spans="15:26" x14ac:dyDescent="0.3">
      <c r="O49" t="str">
        <f ca="1">IFERROR(INDEX(Roll!$C:$C, MATCH(M49, Roll!$B:$B, 0)), "")</f>
        <v/>
      </c>
      <c r="P49" t="str">
        <f t="shared" ref="P49" ca="1" si="77">IF(O49&lt;&gt;"", IFERROR(MODE(O47:O49), O47), "")</f>
        <v/>
      </c>
      <c r="Q49" t="str">
        <f t="shared" si="0"/>
        <v/>
      </c>
      <c r="R49" t="str">
        <f t="shared" si="1"/>
        <v/>
      </c>
      <c r="S49" t="str">
        <f t="shared" si="2"/>
        <v/>
      </c>
      <c r="V49" t="str">
        <f ca="1">IFERROR(INDEX(Roll!$C:$C, MATCH(T49, Roll!$B:$B, 0)), "")</f>
        <v/>
      </c>
      <c r="W49" t="str">
        <f t="shared" ca="1" si="41"/>
        <v/>
      </c>
      <c r="X49" t="str">
        <f t="shared" si="3"/>
        <v/>
      </c>
      <c r="Y49" t="str">
        <f t="shared" si="4"/>
        <v/>
      </c>
      <c r="Z49" t="str">
        <f t="shared" si="5"/>
        <v/>
      </c>
    </row>
    <row r="50" spans="15:26" x14ac:dyDescent="0.3">
      <c r="O50" t="str">
        <f ca="1">IFERROR(INDEX(Roll!$C:$C, MATCH(M50, Roll!$B:$B, 0)), "")</f>
        <v/>
      </c>
      <c r="P50" t="str">
        <f t="shared" ref="P50" ca="1" si="78">IF(O50&lt;&gt;"",IFERROR(MODE(O50:O52), O50), "")</f>
        <v/>
      </c>
      <c r="Q50" t="str">
        <f t="shared" si="0"/>
        <v/>
      </c>
      <c r="R50" t="str">
        <f t="shared" si="1"/>
        <v/>
      </c>
      <c r="S50" t="str">
        <f t="shared" si="2"/>
        <v/>
      </c>
      <c r="V50" t="str">
        <f ca="1">IFERROR(INDEX(Roll!$C:$C, MATCH(T50, Roll!$B:$B, 0)), "")</f>
        <v/>
      </c>
      <c r="W50" t="str">
        <f t="shared" ref="W50" ca="1" si="79">IF(V50&lt;&gt;"",IFERROR(MODE(V50:V52), V50), "")</f>
        <v/>
      </c>
      <c r="X50" t="str">
        <f t="shared" si="3"/>
        <v/>
      </c>
      <c r="Y50" t="str">
        <f t="shared" si="4"/>
        <v/>
      </c>
      <c r="Z50" t="str">
        <f t="shared" si="5"/>
        <v/>
      </c>
    </row>
    <row r="51" spans="15:26" x14ac:dyDescent="0.3">
      <c r="O51" t="str">
        <f ca="1">IFERROR(INDEX(Roll!$C:$C, MATCH(M51, Roll!$B:$B, 0)), "")</f>
        <v/>
      </c>
      <c r="P51" t="str">
        <f t="shared" ref="P51" ca="1" si="80">IF(O51&lt;&gt;"",IFERROR(MODE(O50:O52), O50), "")</f>
        <v/>
      </c>
      <c r="Q51" t="str">
        <f t="shared" si="0"/>
        <v/>
      </c>
      <c r="R51" t="str">
        <f t="shared" si="1"/>
        <v/>
      </c>
      <c r="S51" t="str">
        <f t="shared" si="2"/>
        <v/>
      </c>
      <c r="V51" t="str">
        <f ca="1">IFERROR(INDEX(Roll!$C:$C, MATCH(T51, Roll!$B:$B, 0)), "")</f>
        <v/>
      </c>
      <c r="W51" t="str">
        <f t="shared" ref="W51" ca="1" si="81">IF(V51&lt;&gt;"",IFERROR(MODE(V50:V52), V50), "")</f>
        <v/>
      </c>
      <c r="X51" t="str">
        <f t="shared" si="3"/>
        <v/>
      </c>
      <c r="Y51" t="str">
        <f t="shared" si="4"/>
        <v/>
      </c>
      <c r="Z51" t="str">
        <f t="shared" si="5"/>
        <v/>
      </c>
    </row>
    <row r="52" spans="15:26" x14ac:dyDescent="0.3">
      <c r="O52" t="str">
        <f ca="1">IFERROR(INDEX(Roll!$C:$C, MATCH(M52, Roll!$B:$B, 0)), "")</f>
        <v/>
      </c>
      <c r="P52" t="str">
        <f t="shared" ref="P52" ca="1" si="82">IF(O52&lt;&gt;"",IFERROR(MODE(O50:O52), O50), "")</f>
        <v/>
      </c>
      <c r="Q52" t="str">
        <f t="shared" si="0"/>
        <v/>
      </c>
      <c r="R52" t="str">
        <f t="shared" si="1"/>
        <v/>
      </c>
      <c r="S52" t="str">
        <f t="shared" si="2"/>
        <v/>
      </c>
      <c r="V52" t="str">
        <f ca="1">IFERROR(INDEX(Roll!$C:$C, MATCH(T52, Roll!$B:$B, 0)), "")</f>
        <v/>
      </c>
      <c r="W52" t="str">
        <f t="shared" ref="W52" ca="1" si="83">IF(V52&lt;&gt;"",IFERROR(MODE(V50:V52), V50), "")</f>
        <v/>
      </c>
      <c r="X52" t="str">
        <f t="shared" si="3"/>
        <v/>
      </c>
      <c r="Y52" t="str">
        <f t="shared" si="4"/>
        <v/>
      </c>
      <c r="Z52" t="str">
        <f t="shared" si="5"/>
        <v/>
      </c>
    </row>
    <row r="53" spans="15:26" x14ac:dyDescent="0.3">
      <c r="O53" t="str">
        <f ca="1">IFERROR(INDEX(Roll!$C:$C, MATCH(M53, Roll!$B:$B, 0)), "")</f>
        <v/>
      </c>
      <c r="P53" t="str">
        <f t="shared" ref="P53" ca="1" si="84">IF(O53&lt;&gt;"", IFERROR(MODE(O53:O55), O53), "")</f>
        <v/>
      </c>
      <c r="Q53" t="str">
        <f t="shared" si="0"/>
        <v/>
      </c>
      <c r="R53" t="str">
        <f t="shared" si="1"/>
        <v/>
      </c>
      <c r="S53" t="str">
        <f t="shared" si="2"/>
        <v/>
      </c>
      <c r="V53" t="str">
        <f ca="1">IFERROR(INDEX(Roll!$C:$C, MATCH(T53, Roll!$B:$B, 0)), "")</f>
        <v/>
      </c>
      <c r="W53" t="str">
        <f t="shared" ref="W53" ca="1" si="85">IF(V53&lt;&gt;"", IFERROR(MODE(V53:V55), V53), "")</f>
        <v/>
      </c>
      <c r="X53" t="str">
        <f t="shared" si="3"/>
        <v/>
      </c>
      <c r="Y53" t="str">
        <f t="shared" si="4"/>
        <v/>
      </c>
      <c r="Z53" t="str">
        <f t="shared" si="5"/>
        <v/>
      </c>
    </row>
    <row r="54" spans="15:26" x14ac:dyDescent="0.3">
      <c r="O54" t="str">
        <f ca="1">IFERROR(INDEX(Roll!$C:$C, MATCH(M54, Roll!$B:$B, 0)), "")</f>
        <v/>
      </c>
      <c r="P54" t="str">
        <f t="shared" ref="P54" ca="1" si="86">IF(O54&lt;&gt;"", IFERROR(MODE(O53:O55), O53), "")</f>
        <v/>
      </c>
      <c r="Q54" t="str">
        <f t="shared" si="0"/>
        <v/>
      </c>
      <c r="R54" t="str">
        <f t="shared" si="1"/>
        <v/>
      </c>
      <c r="S54" t="str">
        <f t="shared" si="2"/>
        <v/>
      </c>
      <c r="V54" t="str">
        <f ca="1">IFERROR(INDEX(Roll!$C:$C, MATCH(T54, Roll!$B:$B, 0)), "")</f>
        <v/>
      </c>
      <c r="W54" t="str">
        <f t="shared" ref="W54" ca="1" si="87">IF(V54&lt;&gt;"", IFERROR(MODE(V53:V55), V53), "")</f>
        <v/>
      </c>
      <c r="X54" t="str">
        <f t="shared" si="3"/>
        <v/>
      </c>
      <c r="Y54" t="str">
        <f t="shared" si="4"/>
        <v/>
      </c>
      <c r="Z54" t="str">
        <f t="shared" si="5"/>
        <v/>
      </c>
    </row>
    <row r="55" spans="15:26" x14ac:dyDescent="0.3">
      <c r="O55" t="str">
        <f ca="1">IFERROR(INDEX(Roll!$C:$C, MATCH(M55, Roll!$B:$B, 0)), "")</f>
        <v/>
      </c>
      <c r="P55" t="str">
        <f t="shared" ref="P55" ca="1" si="88">IF(O55&lt;&gt;"", IFERROR(MODE(O53:O55), O53), "")</f>
        <v/>
      </c>
      <c r="Q55" t="str">
        <f t="shared" si="0"/>
        <v/>
      </c>
      <c r="R55" t="str">
        <f t="shared" si="1"/>
        <v/>
      </c>
      <c r="S55" t="str">
        <f t="shared" si="2"/>
        <v/>
      </c>
      <c r="V55" t="str">
        <f ca="1">IFERROR(INDEX(Roll!$C:$C, MATCH(T55, Roll!$B:$B, 0)), "")</f>
        <v/>
      </c>
      <c r="W55" t="str">
        <f t="shared" ref="W55" ca="1" si="89">IF(V55&lt;&gt;"", IFERROR(MODE(V53:V55), V53), "")</f>
        <v/>
      </c>
      <c r="X55" t="str">
        <f t="shared" si="3"/>
        <v/>
      </c>
      <c r="Y55" t="str">
        <f t="shared" si="4"/>
        <v/>
      </c>
      <c r="Z55" t="str">
        <f t="shared" si="5"/>
        <v/>
      </c>
    </row>
    <row r="56" spans="15:26" x14ac:dyDescent="0.3">
      <c r="O56" t="str">
        <f ca="1">IFERROR(INDEX(Roll!$C:$C, MATCH(M56, Roll!$B:$B, 0)), "")</f>
        <v/>
      </c>
      <c r="P56" t="str">
        <f t="shared" ref="P56" ca="1" si="90">IF(O56&lt;&gt;"",IFERROR(MODE(O56:O58), O56), "")</f>
        <v/>
      </c>
      <c r="Q56" t="str">
        <f t="shared" si="0"/>
        <v/>
      </c>
      <c r="R56" t="str">
        <f t="shared" si="1"/>
        <v/>
      </c>
      <c r="S56" t="str">
        <f t="shared" si="2"/>
        <v/>
      </c>
      <c r="V56" t="str">
        <f ca="1">IFERROR(INDEX(Roll!$C:$C, MATCH(T56, Roll!$B:$B, 0)), "")</f>
        <v/>
      </c>
      <c r="W56" t="str">
        <f t="shared" ca="1" si="31"/>
        <v/>
      </c>
      <c r="X56" t="str">
        <f t="shared" si="3"/>
        <v/>
      </c>
      <c r="Y56" t="str">
        <f t="shared" si="4"/>
        <v/>
      </c>
      <c r="Z56" t="str">
        <f t="shared" si="5"/>
        <v/>
      </c>
    </row>
    <row r="57" spans="15:26" x14ac:dyDescent="0.3">
      <c r="O57" t="str">
        <f ca="1">IFERROR(INDEX(Roll!$C:$C, MATCH(M57, Roll!$B:$B, 0)), "")</f>
        <v/>
      </c>
      <c r="P57" t="str">
        <f t="shared" ref="P57" ca="1" si="91">IF(O57&lt;&gt;"",IFERROR(MODE(O56:O58), O56), "")</f>
        <v/>
      </c>
      <c r="Q57" t="str">
        <f t="shared" si="0"/>
        <v/>
      </c>
      <c r="R57" t="str">
        <f t="shared" si="1"/>
        <v/>
      </c>
      <c r="S57" t="str">
        <f t="shared" si="2"/>
        <v/>
      </c>
      <c r="V57" t="str">
        <f ca="1">IFERROR(INDEX(Roll!$C:$C, MATCH(T57, Roll!$B:$B, 0)), "")</f>
        <v/>
      </c>
      <c r="W57" t="str">
        <f t="shared" ca="1" si="33"/>
        <v/>
      </c>
      <c r="X57" t="str">
        <f t="shared" si="3"/>
        <v/>
      </c>
      <c r="Y57" t="str">
        <f t="shared" si="4"/>
        <v/>
      </c>
      <c r="Z57" t="str">
        <f t="shared" si="5"/>
        <v/>
      </c>
    </row>
    <row r="58" spans="15:26" x14ac:dyDescent="0.3">
      <c r="O58" t="str">
        <f ca="1">IFERROR(INDEX(Roll!$C:$C, MATCH(M58, Roll!$B:$B, 0)), "")</f>
        <v/>
      </c>
      <c r="P58" t="str">
        <f t="shared" ref="P58" ca="1" si="92">IF(O58&lt;&gt;"",IFERROR(MODE(O56:O58), O56), "")</f>
        <v/>
      </c>
      <c r="Q58" t="str">
        <f t="shared" si="0"/>
        <v/>
      </c>
      <c r="R58" t="str">
        <f t="shared" si="1"/>
        <v/>
      </c>
      <c r="S58" t="str">
        <f t="shared" si="2"/>
        <v/>
      </c>
      <c r="V58" t="str">
        <f ca="1">IFERROR(INDEX(Roll!$C:$C, MATCH(T58, Roll!$B:$B, 0)), "")</f>
        <v/>
      </c>
      <c r="W58" t="str">
        <f t="shared" ca="1" si="35"/>
        <v/>
      </c>
      <c r="X58" t="str">
        <f t="shared" si="3"/>
        <v/>
      </c>
      <c r="Y58" t="str">
        <f t="shared" si="4"/>
        <v/>
      </c>
      <c r="Z58" t="str">
        <f t="shared" si="5"/>
        <v/>
      </c>
    </row>
    <row r="59" spans="15:26" x14ac:dyDescent="0.3">
      <c r="O59" t="str">
        <f ca="1">IFERROR(INDEX(Roll!$C:$C, MATCH(M59, Roll!$B:$B, 0)), "")</f>
        <v/>
      </c>
      <c r="P59" t="str">
        <f t="shared" ref="P59" ca="1" si="93">IF(O59&lt;&gt;"", IFERROR(MODE(O59:O61), O59), "")</f>
        <v/>
      </c>
      <c r="Q59" t="str">
        <f t="shared" si="0"/>
        <v/>
      </c>
      <c r="R59" t="str">
        <f t="shared" si="1"/>
        <v/>
      </c>
      <c r="S59" t="str">
        <f t="shared" si="2"/>
        <v/>
      </c>
      <c r="V59" t="str">
        <f ca="1">IFERROR(INDEX(Roll!$C:$C, MATCH(T59, Roll!$B:$B, 0)), "")</f>
        <v/>
      </c>
      <c r="W59" t="str">
        <f t="shared" ca="1" si="37"/>
        <v/>
      </c>
      <c r="X59" t="str">
        <f t="shared" si="3"/>
        <v/>
      </c>
      <c r="Y59" t="str">
        <f t="shared" si="4"/>
        <v/>
      </c>
      <c r="Z59" t="str">
        <f t="shared" si="5"/>
        <v/>
      </c>
    </row>
    <row r="60" spans="15:26" x14ac:dyDescent="0.3">
      <c r="O60" t="str">
        <f ca="1">IFERROR(INDEX(Roll!$C:$C, MATCH(M60, Roll!$B:$B, 0)), "")</f>
        <v/>
      </c>
      <c r="P60" t="str">
        <f t="shared" ref="P60" ca="1" si="94">IF(O60&lt;&gt;"", IFERROR(MODE(O59:O61), O59), "")</f>
        <v/>
      </c>
      <c r="Q60" t="str">
        <f t="shared" si="0"/>
        <v/>
      </c>
      <c r="R60" t="str">
        <f t="shared" si="1"/>
        <v/>
      </c>
      <c r="S60" t="str">
        <f t="shared" si="2"/>
        <v/>
      </c>
      <c r="V60" t="str">
        <f ca="1">IFERROR(INDEX(Roll!$C:$C, MATCH(T60, Roll!$B:$B, 0)), "")</f>
        <v/>
      </c>
      <c r="W60" t="str">
        <f t="shared" ca="1" si="39"/>
        <v/>
      </c>
      <c r="X60" t="str">
        <f t="shared" si="3"/>
        <v/>
      </c>
      <c r="Y60" t="str">
        <f t="shared" si="4"/>
        <v/>
      </c>
      <c r="Z60" t="str">
        <f t="shared" si="5"/>
        <v/>
      </c>
    </row>
    <row r="61" spans="15:26" x14ac:dyDescent="0.3">
      <c r="O61" t="str">
        <f ca="1">IFERROR(INDEX(Roll!$C:$C, MATCH(M61, Roll!$B:$B, 0)), "")</f>
        <v/>
      </c>
      <c r="V61" t="str">
        <f ca="1">IFERROR(INDEX(Roll!$C:$C, MATCH(T61, Roll!$B:$B, 0)), "")</f>
        <v/>
      </c>
    </row>
    <row r="62" spans="15:26" x14ac:dyDescent="0.3">
      <c r="O62" t="str">
        <f ca="1">IFERROR(INDEX(Roll!$C:$C, MATCH(M62, Roll!$B:$B, 0)), "")</f>
        <v/>
      </c>
      <c r="V62" t="str">
        <f ca="1">IFERROR(INDEX(Roll!$C:$C, MATCH(T62, Roll!$B:$B, 0)), "")</f>
        <v/>
      </c>
    </row>
    <row r="63" spans="15:26" x14ac:dyDescent="0.3">
      <c r="O63" t="str">
        <f ca="1">IFERROR(INDEX(Roll!$C:$C, MATCH(M63, Roll!$B:$B, 0)), "")</f>
        <v/>
      </c>
      <c r="V63" t="str">
        <f ca="1">IFERROR(INDEX(Roll!$C:$C, MATCH(T63, Roll!$B:$B, 0)), "")</f>
        <v/>
      </c>
    </row>
    <row r="64" spans="15:26" x14ac:dyDescent="0.3">
      <c r="O64" t="str">
        <f ca="1">IFERROR(INDEX(Roll!$C:$C, MATCH(M64, Roll!$B:$B, 0)), "")</f>
        <v/>
      </c>
      <c r="V64" t="str">
        <f ca="1">IFERROR(INDEX(Roll!$C:$C, MATCH(T64, Roll!$B:$B, 0)), "")</f>
        <v/>
      </c>
    </row>
    <row r="65" spans="15:22" x14ac:dyDescent="0.3">
      <c r="O65" t="str">
        <f ca="1">IFERROR(INDEX(Roll!$C:$C, MATCH(M65, Roll!$B:$B, 0)), "")</f>
        <v/>
      </c>
      <c r="V65" t="str">
        <f ca="1">IFERROR(INDEX(Roll!$C:$C, MATCH(T65, Roll!$B:$B, 0)), "")</f>
        <v/>
      </c>
    </row>
    <row r="66" spans="15:22" x14ac:dyDescent="0.3">
      <c r="O66" t="str">
        <f ca="1">IFERROR(INDEX(Roll!$C:$C, MATCH(M66, Roll!$B:$B, 0)), "")</f>
        <v/>
      </c>
      <c r="V66" t="str">
        <f ca="1">IFERROR(INDEX(Roll!$C:$C, MATCH(T66, Roll!$B:$B, 0)), "")</f>
        <v/>
      </c>
    </row>
    <row r="67" spans="15:22" x14ac:dyDescent="0.3">
      <c r="O67" t="str">
        <f ca="1">IFERROR(INDEX(Roll!$C:$C, MATCH(M67, Roll!$B:$B, 0)), "")</f>
        <v/>
      </c>
      <c r="V67" t="str">
        <f ca="1">IFERROR(INDEX(Roll!$C:$C, MATCH(T67, Roll!$B:$B, 0)), "")</f>
        <v/>
      </c>
    </row>
    <row r="68" spans="15:22" x14ac:dyDescent="0.3">
      <c r="O68" t="str">
        <f ca="1">IFERROR(INDEX(Roll!$C:$C, MATCH(M68, Roll!$B:$B, 0)), "")</f>
        <v/>
      </c>
      <c r="V68" t="str">
        <f ca="1">IFERROR(INDEX(Roll!$C:$C, MATCH(T68, Roll!$B:$B, 0)), "")</f>
        <v/>
      </c>
    </row>
    <row r="69" spans="15:22" x14ac:dyDescent="0.3">
      <c r="O69" t="str">
        <f ca="1">IFERROR(INDEX(Roll!$C:$C, MATCH(M69, Roll!$B:$B, 0)), "")</f>
        <v/>
      </c>
      <c r="V69" t="str">
        <f ca="1">IFERROR(INDEX(Roll!$C:$C, MATCH(T69, Roll!$B:$B, 0)), "")</f>
        <v/>
      </c>
    </row>
    <row r="70" spans="15:22" x14ac:dyDescent="0.3">
      <c r="O70" t="str">
        <f ca="1">IFERROR(INDEX(Roll!$C:$C, MATCH(M70, Roll!$B:$B, 0)), "")</f>
        <v/>
      </c>
      <c r="V70" t="str">
        <f ca="1">IFERROR(INDEX(Roll!$C:$C, MATCH(T70, Roll!$B:$B, 0)), "")</f>
        <v/>
      </c>
    </row>
    <row r="71" spans="15:22" x14ac:dyDescent="0.3">
      <c r="O71" t="str">
        <f ca="1">IFERROR(INDEX(Roll!$C:$C, MATCH(M71, Roll!$B:$B, 0)), "")</f>
        <v/>
      </c>
      <c r="V71" t="str">
        <f ca="1">IFERROR(INDEX(Roll!$C:$C, MATCH(T71, Roll!$B:$B, 0)), "")</f>
        <v/>
      </c>
    </row>
    <row r="72" spans="15:22" x14ac:dyDescent="0.3">
      <c r="O72" t="str">
        <f ca="1">IFERROR(INDEX(Roll!$C:$C, MATCH(M72, Roll!$B:$B, 0)), "")</f>
        <v/>
      </c>
      <c r="V72" t="str">
        <f ca="1">IFERROR(INDEX(Roll!$C:$C, MATCH(T72, Roll!$B:$B, 0)), "")</f>
        <v/>
      </c>
    </row>
    <row r="73" spans="15:22" x14ac:dyDescent="0.3">
      <c r="O73" t="str">
        <f ca="1">IFERROR(INDEX(Roll!$C:$C, MATCH(M73, Roll!$B:$B, 0)), "")</f>
        <v/>
      </c>
      <c r="V73" t="str">
        <f ca="1">IFERROR(INDEX(Roll!$C:$C, MATCH(T73, Roll!$B:$B, 0)), "")</f>
        <v/>
      </c>
    </row>
    <row r="74" spans="15:22" x14ac:dyDescent="0.3">
      <c r="O74" t="str">
        <f ca="1">IFERROR(INDEX(Roll!$C:$C, MATCH(M74, Roll!$B:$B, 0)), "")</f>
        <v/>
      </c>
      <c r="V74" t="str">
        <f ca="1">IFERROR(INDEX(Roll!$C:$C, MATCH(T74, Roll!$B:$B, 0)), "")</f>
        <v/>
      </c>
    </row>
    <row r="75" spans="15:22" x14ac:dyDescent="0.3">
      <c r="O75" t="str">
        <f ca="1">IFERROR(INDEX(Roll!$C:$C, MATCH(M75, Roll!$B:$B, 0)), "")</f>
        <v/>
      </c>
      <c r="V75" t="str">
        <f ca="1">IFERROR(INDEX(Roll!$C:$C, MATCH(T75, Roll!$B:$B, 0)), "")</f>
        <v/>
      </c>
    </row>
    <row r="76" spans="15:22" x14ac:dyDescent="0.3">
      <c r="O76" t="str">
        <f ca="1">IFERROR(INDEX(Roll!$C:$C, MATCH(M76, Roll!$B:$B, 0)), "")</f>
        <v/>
      </c>
      <c r="V76" t="str">
        <f ca="1">IFERROR(INDEX(Roll!$C:$C, MATCH(T76, Roll!$B:$B, 0)), "")</f>
        <v/>
      </c>
    </row>
    <row r="77" spans="15:22" x14ac:dyDescent="0.3">
      <c r="O77" t="str">
        <f ca="1">IFERROR(INDEX(Roll!$C:$C, MATCH(M77, Roll!$B:$B, 0)), "")</f>
        <v/>
      </c>
      <c r="V77" t="str">
        <f ca="1">IFERROR(INDEX(Roll!$C:$C, MATCH(T77, Roll!$B:$B, 0)), "")</f>
        <v/>
      </c>
    </row>
    <row r="78" spans="15:22" x14ac:dyDescent="0.3">
      <c r="O78" t="str">
        <f ca="1">IFERROR(INDEX(Roll!$C:$C, MATCH(M78, Roll!$B:$B, 0)), "")</f>
        <v/>
      </c>
      <c r="V78" t="str">
        <f ca="1">IFERROR(INDEX(Roll!$C:$C, MATCH(T78, Roll!$B:$B, 0)), "")</f>
        <v/>
      </c>
    </row>
    <row r="79" spans="15:22" x14ac:dyDescent="0.3">
      <c r="O79" t="str">
        <f ca="1">IFERROR(INDEX(Roll!$C:$C, MATCH(M79, Roll!$B:$B, 0)), "")</f>
        <v/>
      </c>
      <c r="V79" t="str">
        <f ca="1">IFERROR(INDEX(Roll!$C:$C, MATCH(T79, Roll!$B:$B, 0)), "")</f>
        <v/>
      </c>
    </row>
    <row r="80" spans="15:22" x14ac:dyDescent="0.3">
      <c r="O80" t="str">
        <f ca="1">IFERROR(INDEX(Roll!$C:$C, MATCH(M80, Roll!$B:$B, 0)), "")</f>
        <v/>
      </c>
      <c r="V80" t="str">
        <f ca="1">IFERROR(INDEX(Roll!$C:$C, MATCH(T80, Roll!$B:$B, 0)), "")</f>
        <v/>
      </c>
    </row>
    <row r="81" spans="15:22" x14ac:dyDescent="0.3">
      <c r="O81" t="str">
        <f ca="1">IFERROR(INDEX(Roll!$C:$C, MATCH(M81, Roll!$B:$B, 0)), "")</f>
        <v/>
      </c>
      <c r="V81" t="str">
        <f ca="1">IFERROR(INDEX(Roll!$C:$C, MATCH(T81, Roll!$B:$B, 0)), "")</f>
        <v/>
      </c>
    </row>
    <row r="82" spans="15:22" x14ac:dyDescent="0.3">
      <c r="O82" t="str">
        <f ca="1">IFERROR(INDEX(Roll!$C:$C, MATCH(M82, Roll!$B:$B, 0)), "")</f>
        <v/>
      </c>
      <c r="V82" t="str">
        <f ca="1">IFERROR(INDEX(Roll!$C:$C, MATCH(T82, Roll!$B:$B, 0)), "")</f>
        <v/>
      </c>
    </row>
    <row r="83" spans="15:22" x14ac:dyDescent="0.3">
      <c r="O83" t="str">
        <f ca="1">IFERROR(INDEX(Roll!$C:$C, MATCH(M83, Roll!$B:$B, 0)), "")</f>
        <v/>
      </c>
      <c r="V83" t="str">
        <f ca="1">IFERROR(INDEX(Roll!$C:$C, MATCH(T83, Roll!$B:$B, 0)), "")</f>
        <v/>
      </c>
    </row>
    <row r="84" spans="15:22" x14ac:dyDescent="0.3">
      <c r="O84" t="str">
        <f ca="1">IFERROR(INDEX(Roll!$C:$C, MATCH(M84, Roll!$B:$B, 0)), "")</f>
        <v/>
      </c>
      <c r="V84" t="str">
        <f ca="1">IFERROR(INDEX(Roll!$C:$C, MATCH(T84, Roll!$B:$B, 0)), "")</f>
        <v/>
      </c>
    </row>
    <row r="85" spans="15:22" x14ac:dyDescent="0.3">
      <c r="O85" t="str">
        <f ca="1">IFERROR(INDEX(Roll!$C:$C, MATCH(M85, Roll!$B:$B, 0)), "")</f>
        <v/>
      </c>
      <c r="V85" t="str">
        <f ca="1">IFERROR(INDEX(Roll!$C:$C, MATCH(T85, Roll!$B:$B, 0)), "")</f>
        <v/>
      </c>
    </row>
    <row r="86" spans="15:22" x14ac:dyDescent="0.3">
      <c r="O86" t="str">
        <f ca="1">IFERROR(INDEX(Roll!$C:$C, MATCH(M86, Roll!$B:$B, 0)), "")</f>
        <v/>
      </c>
      <c r="V86" t="str">
        <f ca="1">IFERROR(INDEX(Roll!$C:$C, MATCH(T86, Roll!$B:$B, 0)), "")</f>
        <v/>
      </c>
    </row>
    <row r="87" spans="15:22" x14ac:dyDescent="0.3">
      <c r="O87" t="str">
        <f ca="1">IFERROR(INDEX(Roll!$C:$C, MATCH(M87, Roll!$B:$B, 0)), "")</f>
        <v/>
      </c>
      <c r="V87" t="str">
        <f ca="1">IFERROR(INDEX(Roll!$C:$C, MATCH(T87, Roll!$B:$B, 0)), "")</f>
        <v/>
      </c>
    </row>
    <row r="88" spans="15:22" x14ac:dyDescent="0.3">
      <c r="O88" t="str">
        <f ca="1">IFERROR(INDEX(Roll!$C:$C, MATCH(M88, Roll!$B:$B, 0)), "")</f>
        <v/>
      </c>
      <c r="V88" t="str">
        <f ca="1">IFERROR(INDEX(Roll!$C:$C, MATCH(T88, Roll!$B:$B, 0)), "")</f>
        <v/>
      </c>
    </row>
    <row r="89" spans="15:22" x14ac:dyDescent="0.3">
      <c r="O89" t="str">
        <f ca="1">IFERROR(INDEX(Roll!$C:$C, MATCH(M89, Roll!$B:$B, 0)), "")</f>
        <v/>
      </c>
      <c r="V89" t="str">
        <f ca="1">IFERROR(INDEX(Roll!$C:$C, MATCH(T89, Roll!$B:$B, 0)), "")</f>
        <v/>
      </c>
    </row>
    <row r="90" spans="15:22" x14ac:dyDescent="0.3">
      <c r="O90" t="str">
        <f ca="1">IFERROR(INDEX(Roll!$C:$C, MATCH(M90, Roll!$B:$B, 0)), "")</f>
        <v/>
      </c>
      <c r="V90" t="str">
        <f ca="1">IFERROR(INDEX(Roll!$C:$C, MATCH(T90, Roll!$B:$B, 0)), "")</f>
        <v/>
      </c>
    </row>
    <row r="91" spans="15:22" x14ac:dyDescent="0.3">
      <c r="O91" t="str">
        <f ca="1">IFERROR(INDEX(Roll!$C:$C, MATCH(M91, Roll!$B:$B, 0)), "")</f>
        <v/>
      </c>
      <c r="V91" t="str">
        <f ca="1">IFERROR(INDEX(Roll!$C:$C, MATCH(T91, Roll!$B:$B, 0)), "")</f>
        <v/>
      </c>
    </row>
    <row r="92" spans="15:22" x14ac:dyDescent="0.3">
      <c r="O92" t="str">
        <f ca="1">IFERROR(INDEX(Roll!$C:$C, MATCH(M92, Roll!$B:$B, 0)), "")</f>
        <v/>
      </c>
      <c r="V92" t="str">
        <f ca="1">IFERROR(INDEX(Roll!$C:$C, MATCH(T92, Roll!$B:$B, 0)), "")</f>
        <v/>
      </c>
    </row>
    <row r="93" spans="15:22" x14ac:dyDescent="0.3">
      <c r="O93" t="str">
        <f ca="1">IFERROR(INDEX(Roll!$C:$C, MATCH(M93, Roll!$B:$B, 0)), "")</f>
        <v/>
      </c>
      <c r="V93" t="str">
        <f ca="1">IFERROR(INDEX(Roll!$C:$C, MATCH(T93, Roll!$B:$B, 0)), "")</f>
        <v/>
      </c>
    </row>
    <row r="94" spans="15:22" x14ac:dyDescent="0.3">
      <c r="O94" t="str">
        <f ca="1">IFERROR(INDEX(Roll!$C:$C, MATCH(M94, Roll!$B:$B, 0)), "")</f>
        <v/>
      </c>
      <c r="V94" t="str">
        <f ca="1">IFERROR(INDEX(Roll!$C:$C, MATCH(T94, Roll!$B:$B, 0)), "")</f>
        <v/>
      </c>
    </row>
    <row r="95" spans="15:22" x14ac:dyDescent="0.3">
      <c r="O95" t="str">
        <f ca="1">IFERROR(INDEX(Roll!$C:$C, MATCH(M95, Roll!$B:$B, 0)), "")</f>
        <v/>
      </c>
      <c r="V95" t="str">
        <f ca="1">IFERROR(INDEX(Roll!$C:$C, MATCH(T95, Roll!$B:$B, 0)), "")</f>
        <v/>
      </c>
    </row>
    <row r="96" spans="15:22" x14ac:dyDescent="0.3">
      <c r="O96" t="str">
        <f ca="1">IFERROR(INDEX(Roll!$C:$C, MATCH(M96, Roll!$B:$B, 0)), "")</f>
        <v/>
      </c>
      <c r="V96" t="str">
        <f ca="1">IFERROR(INDEX(Roll!$C:$C, MATCH(T96, Roll!$B:$B, 0)), "")</f>
        <v/>
      </c>
    </row>
    <row r="97" spans="15:22" x14ac:dyDescent="0.3">
      <c r="O97" t="str">
        <f ca="1">IFERROR(INDEX(Roll!$C:$C, MATCH(M97, Roll!$B:$B, 0)), "")</f>
        <v/>
      </c>
      <c r="V97" t="str">
        <f ca="1">IFERROR(INDEX(Roll!$C:$C, MATCH(T97, Roll!$B:$B, 0)), "")</f>
        <v/>
      </c>
    </row>
    <row r="98" spans="15:22" x14ac:dyDescent="0.3">
      <c r="O98" t="str">
        <f ca="1">IFERROR(INDEX(Roll!$C:$C, MATCH(M98, Roll!$B:$B, 0)), "")</f>
        <v/>
      </c>
      <c r="V98" t="str">
        <f ca="1">IFERROR(INDEX(Roll!$C:$C, MATCH(T98, Roll!$B:$B, 0)), "")</f>
        <v/>
      </c>
    </row>
    <row r="99" spans="15:22" x14ac:dyDescent="0.3">
      <c r="O99" t="str">
        <f ca="1">IFERROR(INDEX(Roll!$C:$C, MATCH(M99, Roll!$B:$B, 0)), "")</f>
        <v/>
      </c>
      <c r="V99" t="str">
        <f ca="1">IFERROR(INDEX(Roll!$C:$C, MATCH(T99, Roll!$B:$B, 0)), "")</f>
        <v/>
      </c>
    </row>
    <row r="100" spans="15:22" x14ac:dyDescent="0.3">
      <c r="O100" t="str">
        <f ca="1">IFERROR(INDEX(Roll!$C:$C, MATCH(M100, Roll!$B:$B, 0)), "")</f>
        <v/>
      </c>
      <c r="V100" t="str">
        <f ca="1">IFERROR(INDEX(Roll!$C:$C, MATCH(T100, Roll!$B:$B, 0)), "")</f>
        <v/>
      </c>
    </row>
    <row r="101" spans="15:22" x14ac:dyDescent="0.3">
      <c r="O101" t="str">
        <f ca="1">IFERROR(INDEX(Roll!$C:$C, MATCH(M101, Roll!$B:$B, 0)), "")</f>
        <v/>
      </c>
      <c r="V101" t="str">
        <f ca="1">IFERROR(INDEX(Roll!$C:$C, MATCH(T101, Roll!$B:$B, 0)), "")</f>
        <v/>
      </c>
    </row>
    <row r="102" spans="15:22" x14ac:dyDescent="0.3">
      <c r="O102" t="str">
        <f ca="1">IFERROR(INDEX(Roll!$C:$C, MATCH(M102, Roll!$B:$B, 0)), "")</f>
        <v/>
      </c>
      <c r="V102" t="str">
        <f ca="1">IFERROR(INDEX(Roll!$C:$C, MATCH(T102, Roll!$B:$B, 0)), "")</f>
        <v/>
      </c>
    </row>
    <row r="103" spans="15:22" x14ac:dyDescent="0.3">
      <c r="O103" t="str">
        <f ca="1">IFERROR(INDEX(Roll!$C:$C, MATCH(M103, Roll!$B:$B, 0)), "")</f>
        <v/>
      </c>
      <c r="V103" t="str">
        <f ca="1">IFERROR(INDEX(Roll!$C:$C, MATCH(T103, Roll!$B:$B, 0)), "")</f>
        <v/>
      </c>
    </row>
    <row r="104" spans="15:22" x14ac:dyDescent="0.3">
      <c r="O104" t="str">
        <f ca="1">IFERROR(INDEX(Roll!$C:$C, MATCH(M104, Roll!$B:$B, 0)), "")</f>
        <v/>
      </c>
      <c r="V104" t="str">
        <f ca="1">IFERROR(INDEX(Roll!$C:$C, MATCH(T104, Roll!$B:$B, 0)), "")</f>
        <v/>
      </c>
    </row>
    <row r="105" spans="15:22" x14ac:dyDescent="0.3">
      <c r="O105" t="str">
        <f ca="1">IFERROR(INDEX(Roll!$C:$C, MATCH(M105, Roll!$B:$B, 0)), "")</f>
        <v/>
      </c>
      <c r="V105" t="str">
        <f ca="1">IFERROR(INDEX(Roll!$C:$C, MATCH(T105, Roll!$B:$B, 0)), "")</f>
        <v/>
      </c>
    </row>
    <row r="106" spans="15:22" x14ac:dyDescent="0.3">
      <c r="O106" t="str">
        <f ca="1">IFERROR(INDEX(Roll!$C:$C, MATCH(M106, Roll!$B:$B, 0)), "")</f>
        <v/>
      </c>
      <c r="V106" t="str">
        <f ca="1">IFERROR(INDEX(Roll!$C:$C, MATCH(T106, Roll!$B:$B, 0)), "")</f>
        <v/>
      </c>
    </row>
    <row r="107" spans="15:22" x14ac:dyDescent="0.3">
      <c r="O107" t="str">
        <f ca="1">IFERROR(INDEX(Roll!$C:$C, MATCH(M107, Roll!$B:$B, 0)), "")</f>
        <v/>
      </c>
      <c r="V107" t="str">
        <f ca="1">IFERROR(INDEX(Roll!$C:$C, MATCH(T107, Roll!$B:$B, 0)), "")</f>
        <v/>
      </c>
    </row>
    <row r="108" spans="15:22" x14ac:dyDescent="0.3">
      <c r="O108" t="str">
        <f ca="1">IFERROR(INDEX(Roll!$C:$C, MATCH(M108, Roll!$B:$B, 0)), "")</f>
        <v/>
      </c>
      <c r="V108" t="str">
        <f ca="1">IFERROR(INDEX(Roll!$C:$C, MATCH(T108, Roll!$B:$B, 0)), "")</f>
        <v/>
      </c>
    </row>
    <row r="109" spans="15:22" x14ac:dyDescent="0.3">
      <c r="O109" t="str">
        <f ca="1">IFERROR(INDEX(Roll!$C:$C, MATCH(M109, Roll!$B:$B, 0)), "")</f>
        <v/>
      </c>
      <c r="V109" t="str">
        <f ca="1">IFERROR(INDEX(Roll!$C:$C, MATCH(T109, Roll!$B:$B, 0)), "")</f>
        <v/>
      </c>
    </row>
    <row r="110" spans="15:22" x14ac:dyDescent="0.3">
      <c r="O110" t="str">
        <f ca="1">IFERROR(INDEX(Roll!$C:$C, MATCH(M110, Roll!$B:$B, 0)), "")</f>
        <v/>
      </c>
      <c r="V110" t="str">
        <f ca="1">IFERROR(INDEX(Roll!$C:$C, MATCH(T110, Roll!$B:$B, 0)), "")</f>
        <v/>
      </c>
    </row>
    <row r="111" spans="15:22" x14ac:dyDescent="0.3">
      <c r="O111" t="str">
        <f ca="1">IFERROR(INDEX(Roll!$C:$C, MATCH(M111, Roll!$B:$B, 0)), "")</f>
        <v/>
      </c>
      <c r="V111" t="str">
        <f ca="1">IFERROR(INDEX(Roll!$C:$C, MATCH(T111, Roll!$B:$B, 0)), "")</f>
        <v/>
      </c>
    </row>
    <row r="112" spans="15:22" x14ac:dyDescent="0.3">
      <c r="O112" t="str">
        <f ca="1">IFERROR(INDEX(Roll!$C:$C, MATCH(M112, Roll!$B:$B, 0)), "")</f>
        <v/>
      </c>
      <c r="V112" t="str">
        <f ca="1">IFERROR(INDEX(Roll!$C:$C, MATCH(T112, Roll!$B:$B, 0)), "")</f>
        <v/>
      </c>
    </row>
    <row r="113" spans="15:22" x14ac:dyDescent="0.3">
      <c r="O113" t="str">
        <f ca="1">IFERROR(INDEX(Roll!$C:$C, MATCH(M113, Roll!$B:$B, 0)), "")</f>
        <v/>
      </c>
      <c r="V113" t="str">
        <f ca="1">IFERROR(INDEX(Roll!$C:$C, MATCH(T113, Roll!$B:$B, 0)), "")</f>
        <v/>
      </c>
    </row>
    <row r="114" spans="15:22" x14ac:dyDescent="0.3">
      <c r="O114" t="str">
        <f ca="1">IFERROR(INDEX(Roll!$C:$C, MATCH(M114, Roll!$B:$B, 0)), "")</f>
        <v/>
      </c>
      <c r="V114" t="str">
        <f ca="1">IFERROR(INDEX(Roll!$C:$C, MATCH(T114, Roll!$B:$B, 0)), "")</f>
        <v/>
      </c>
    </row>
    <row r="115" spans="15:22" x14ac:dyDescent="0.3">
      <c r="O115" t="str">
        <f ca="1">IFERROR(INDEX(Roll!$C:$C, MATCH(M115, Roll!$B:$B, 0)), "")</f>
        <v/>
      </c>
      <c r="V115" t="str">
        <f ca="1">IFERROR(INDEX(Roll!$C:$C, MATCH(T115, Roll!$B:$B, 0)), "")</f>
        <v/>
      </c>
    </row>
    <row r="116" spans="15:22" x14ac:dyDescent="0.3">
      <c r="O116" t="str">
        <f ca="1">IFERROR(INDEX(Roll!$C:$C, MATCH(M116, Roll!$B:$B, 0)), "")</f>
        <v/>
      </c>
      <c r="V116" t="str">
        <f ca="1">IFERROR(INDEX(Roll!$C:$C, MATCH(T116, Roll!$B:$B, 0)), "")</f>
        <v/>
      </c>
    </row>
    <row r="117" spans="15:22" x14ac:dyDescent="0.3">
      <c r="O117" t="str">
        <f ca="1">IFERROR(INDEX(Roll!$C:$C, MATCH(M117, Roll!$B:$B, 0)), "")</f>
        <v/>
      </c>
      <c r="V117" t="str">
        <f ca="1">IFERROR(INDEX(Roll!$C:$C, MATCH(T117, Roll!$B:$B, 0)), "")</f>
        <v/>
      </c>
    </row>
    <row r="118" spans="15:22" x14ac:dyDescent="0.3">
      <c r="O118" t="str">
        <f ca="1">IFERROR(INDEX(Roll!$C:$C, MATCH(M118, Roll!$B:$B, 0)), "")</f>
        <v/>
      </c>
      <c r="V118" t="str">
        <f ca="1">IFERROR(INDEX(Roll!$C:$C, MATCH(T118, Roll!$B:$B, 0)), "")</f>
        <v/>
      </c>
    </row>
    <row r="119" spans="15:22" x14ac:dyDescent="0.3">
      <c r="O119" t="str">
        <f ca="1">IFERROR(INDEX(Roll!$C:$C, MATCH(M119, Roll!$B:$B, 0)), "")</f>
        <v/>
      </c>
      <c r="V119" t="str">
        <f ca="1">IFERROR(INDEX(Roll!$C:$C, MATCH(T119, Roll!$B:$B, 0)), "")</f>
        <v/>
      </c>
    </row>
    <row r="120" spans="15:22" x14ac:dyDescent="0.3">
      <c r="O120" t="str">
        <f ca="1">IFERROR(INDEX(Roll!$C:$C, MATCH(M120, Roll!$B:$B, 0)), "")</f>
        <v/>
      </c>
      <c r="V120" t="str">
        <f ca="1">IFERROR(INDEX(Roll!$C:$C, MATCH(T120, Roll!$B:$B, 0)), "")</f>
        <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84405-4F85-49D3-B2FB-203D4B33D7BC}">
  <sheetPr codeName="Sheet21"/>
  <dimension ref="A1:L200"/>
  <sheetViews>
    <sheetView workbookViewId="0">
      <selection activeCell="F20" sqref="F20"/>
    </sheetView>
  </sheetViews>
  <sheetFormatPr defaultColWidth="16.44140625" defaultRowHeight="14.4" x14ac:dyDescent="0.3"/>
  <cols>
    <col min="1" max="1" width="16.44140625" style="1"/>
    <col min="2" max="2" width="16.44140625" style="12"/>
    <col min="3" max="3" width="10.77734375" style="1" bestFit="1" customWidth="1"/>
    <col min="4" max="4" width="17.21875" style="12" bestFit="1" customWidth="1"/>
    <col min="5" max="5" width="10.21875" style="1" bestFit="1" customWidth="1"/>
    <col min="6" max="6" width="16.44140625" style="12"/>
    <col min="7" max="7" width="8.21875" style="1" bestFit="1" customWidth="1"/>
    <col min="8" max="8" width="17.21875" style="12" bestFit="1" customWidth="1"/>
    <col min="9" max="9" width="10.21875" style="1" bestFit="1" customWidth="1"/>
    <col min="10" max="10" width="16.44140625" style="12"/>
    <col min="11" max="11" width="8.21875" style="1" bestFit="1" customWidth="1"/>
    <col min="12" max="12" width="17.21875" style="12" bestFit="1" customWidth="1"/>
    <col min="13" max="16384" width="16.44140625" style="1"/>
  </cols>
  <sheetData>
    <row r="1" spans="1:11" s="9" customFormat="1" x14ac:dyDescent="0.3">
      <c r="A1" s="8"/>
      <c r="B1" s="8"/>
      <c r="C1" s="8"/>
      <c r="E1" s="8"/>
      <c r="F1" s="8"/>
      <c r="G1" s="8"/>
      <c r="I1" s="8"/>
      <c r="J1" s="8"/>
      <c r="K1" s="8"/>
    </row>
    <row r="2" spans="1:11" x14ac:dyDescent="0.3">
      <c r="A2" s="2"/>
      <c r="B2" s="10"/>
      <c r="C2" s="2"/>
      <c r="E2" s="2"/>
      <c r="F2" s="10"/>
      <c r="G2" s="2"/>
      <c r="I2" s="2"/>
      <c r="J2" s="10"/>
      <c r="K2" s="2"/>
    </row>
    <row r="3" spans="1:11" x14ac:dyDescent="0.3">
      <c r="A3" s="2"/>
      <c r="B3" s="10"/>
      <c r="C3" s="2"/>
      <c r="E3" s="2"/>
      <c r="F3" s="10"/>
      <c r="G3" s="2"/>
      <c r="I3" s="2"/>
      <c r="J3" s="10"/>
      <c r="K3" s="2"/>
    </row>
    <row r="4" spans="1:11" x14ac:dyDescent="0.3">
      <c r="A4" s="2"/>
      <c r="B4" s="10"/>
      <c r="C4" s="2"/>
      <c r="E4" s="2"/>
      <c r="F4" s="10"/>
      <c r="G4" s="2"/>
      <c r="I4" s="2"/>
      <c r="J4" s="10"/>
      <c r="K4" s="2"/>
    </row>
    <row r="5" spans="1:11" x14ac:dyDescent="0.3">
      <c r="A5" s="2"/>
      <c r="B5" s="10"/>
      <c r="C5" s="2"/>
      <c r="E5" s="2"/>
      <c r="F5" s="10"/>
      <c r="G5" s="2"/>
      <c r="I5" s="2"/>
      <c r="J5" s="10"/>
      <c r="K5" s="2"/>
    </row>
    <row r="6" spans="1:11" x14ac:dyDescent="0.3">
      <c r="A6" s="2"/>
      <c r="B6" s="10"/>
      <c r="C6" s="2"/>
      <c r="E6" s="2"/>
      <c r="F6" s="10"/>
      <c r="G6" s="2"/>
      <c r="I6" s="2"/>
      <c r="J6" s="10"/>
      <c r="K6" s="2"/>
    </row>
    <row r="7" spans="1:11" s="9" customFormat="1" x14ac:dyDescent="0.3">
      <c r="A7" s="8"/>
      <c r="B7" s="8"/>
      <c r="C7" s="8"/>
      <c r="E7" s="8"/>
      <c r="F7" s="8"/>
      <c r="G7" s="8"/>
      <c r="I7" s="8"/>
      <c r="J7" s="8"/>
      <c r="K7" s="8"/>
    </row>
    <row r="8" spans="1:11" x14ac:dyDescent="0.3">
      <c r="A8" s="2"/>
      <c r="B8" s="10"/>
      <c r="C8" s="2"/>
      <c r="E8" s="2"/>
      <c r="F8" s="10"/>
      <c r="G8" s="2"/>
      <c r="I8" s="2"/>
      <c r="J8" s="10"/>
      <c r="K8" s="2"/>
    </row>
    <row r="9" spans="1:11" x14ac:dyDescent="0.3">
      <c r="A9" s="2"/>
      <c r="B9" s="10"/>
      <c r="C9" s="2"/>
      <c r="E9" s="2"/>
      <c r="F9" s="10"/>
      <c r="G9" s="2"/>
      <c r="I9" s="2"/>
      <c r="J9" s="10"/>
      <c r="K9" s="2"/>
    </row>
    <row r="10" spans="1:11" x14ac:dyDescent="0.3">
      <c r="A10" s="2"/>
      <c r="B10" s="10"/>
      <c r="C10" s="2"/>
      <c r="E10" s="2"/>
      <c r="F10" s="10"/>
      <c r="G10" s="2"/>
      <c r="I10" s="2"/>
      <c r="J10" s="10"/>
      <c r="K10" s="2"/>
    </row>
    <row r="11" spans="1:11" x14ac:dyDescent="0.3">
      <c r="A11" s="2"/>
      <c r="B11" s="10"/>
      <c r="C11" s="2"/>
      <c r="E11" s="2"/>
      <c r="F11" s="10"/>
      <c r="G11" s="2"/>
      <c r="I11" s="2"/>
      <c r="J11" s="10"/>
      <c r="K11" s="2"/>
    </row>
    <row r="12" spans="1:11" x14ac:dyDescent="0.3">
      <c r="A12" s="2"/>
      <c r="B12" s="10"/>
      <c r="C12" s="2"/>
      <c r="E12" s="2"/>
      <c r="F12" s="10"/>
      <c r="G12" s="2"/>
      <c r="I12" s="2"/>
      <c r="J12" s="10"/>
      <c r="K12" s="2"/>
    </row>
    <row r="13" spans="1:11" s="9" customFormat="1" x14ac:dyDescent="0.3">
      <c r="A13" s="8"/>
      <c r="B13" s="8"/>
      <c r="C13" s="8"/>
      <c r="E13" s="8"/>
      <c r="F13" s="8"/>
      <c r="G13" s="8"/>
      <c r="I13" s="8"/>
      <c r="J13" s="8"/>
      <c r="K13" s="8"/>
    </row>
    <row r="14" spans="1:11" x14ac:dyDescent="0.3">
      <c r="A14" s="2"/>
      <c r="B14" s="10"/>
      <c r="C14" s="2"/>
      <c r="E14" s="2"/>
      <c r="F14" s="10"/>
      <c r="G14" s="2"/>
      <c r="I14" s="2"/>
      <c r="J14" s="10"/>
      <c r="K14" s="2"/>
    </row>
    <row r="15" spans="1:11" x14ac:dyDescent="0.3">
      <c r="A15" s="2"/>
      <c r="B15" s="10"/>
      <c r="C15" s="2"/>
      <c r="E15" s="2"/>
      <c r="F15" s="10"/>
      <c r="G15" s="2"/>
      <c r="I15" s="2"/>
      <c r="J15" s="10"/>
      <c r="K15" s="2"/>
    </row>
    <row r="16" spans="1:11" x14ac:dyDescent="0.3">
      <c r="A16" s="2"/>
      <c r="B16" s="10"/>
      <c r="C16" s="2"/>
      <c r="E16" s="2"/>
      <c r="F16" s="10"/>
      <c r="G16" s="2"/>
      <c r="I16" s="2"/>
      <c r="J16" s="10"/>
      <c r="K16" s="2"/>
    </row>
    <row r="17" spans="1:12" x14ac:dyDescent="0.3">
      <c r="A17" s="2"/>
      <c r="B17" s="10"/>
      <c r="C17" s="2"/>
      <c r="E17" s="2"/>
      <c r="F17" s="10"/>
      <c r="G17" s="2"/>
      <c r="I17" s="2"/>
      <c r="J17" s="10"/>
      <c r="K17" s="2"/>
    </row>
    <row r="18" spans="1:12" x14ac:dyDescent="0.3">
      <c r="A18" s="2"/>
      <c r="B18" s="10"/>
      <c r="C18" s="2"/>
      <c r="E18" s="2"/>
      <c r="F18" s="10"/>
      <c r="G18" s="2"/>
      <c r="I18" s="2"/>
      <c r="J18" s="10"/>
      <c r="K18" s="2"/>
    </row>
    <row r="19" spans="1:12" x14ac:dyDescent="0.3">
      <c r="B19" s="1"/>
      <c r="D19" s="1"/>
      <c r="F19" s="1"/>
      <c r="H19" s="1"/>
      <c r="J19" s="1"/>
      <c r="L19" s="1"/>
    </row>
    <row r="20" spans="1:12" x14ac:dyDescent="0.3">
      <c r="B20" s="1"/>
      <c r="D20" s="1"/>
      <c r="F20" s="1"/>
      <c r="H20" s="1"/>
      <c r="J20" s="1"/>
      <c r="L20" s="1"/>
    </row>
    <row r="21" spans="1:12" x14ac:dyDescent="0.3">
      <c r="B21" s="1"/>
      <c r="D21" s="1"/>
      <c r="F21" s="1"/>
      <c r="H21" s="1"/>
      <c r="J21" s="1"/>
      <c r="L21" s="1"/>
    </row>
    <row r="22" spans="1:12" x14ac:dyDescent="0.3">
      <c r="B22" s="1"/>
      <c r="D22" s="1"/>
      <c r="F22" s="1"/>
      <c r="H22" s="1"/>
      <c r="J22" s="1"/>
      <c r="L22" s="1"/>
    </row>
    <row r="23" spans="1:12" x14ac:dyDescent="0.3">
      <c r="B23" s="1"/>
      <c r="D23" s="1"/>
      <c r="F23" s="1"/>
      <c r="H23" s="1"/>
      <c r="J23" s="1"/>
      <c r="L23" s="1"/>
    </row>
    <row r="24" spans="1:12" x14ac:dyDescent="0.3">
      <c r="B24" s="1"/>
      <c r="D24" s="1"/>
      <c r="F24" s="1"/>
      <c r="H24" s="1"/>
      <c r="J24" s="1"/>
      <c r="L24" s="1"/>
    </row>
    <row r="25" spans="1:12" x14ac:dyDescent="0.3">
      <c r="B25" s="1"/>
      <c r="D25" s="1"/>
      <c r="F25" s="1"/>
      <c r="H25" s="1"/>
      <c r="J25" s="1"/>
      <c r="L25" s="1"/>
    </row>
    <row r="26" spans="1:12" x14ac:dyDescent="0.3">
      <c r="B26" s="1"/>
      <c r="D26" s="1"/>
      <c r="F26" s="1"/>
      <c r="H26" s="1"/>
      <c r="J26" s="1"/>
      <c r="L26" s="1"/>
    </row>
    <row r="27" spans="1:12" x14ac:dyDescent="0.3">
      <c r="B27" s="1"/>
      <c r="D27" s="1"/>
      <c r="F27" s="1"/>
      <c r="H27" s="1"/>
      <c r="J27" s="1"/>
      <c r="L27" s="1"/>
    </row>
    <row r="28" spans="1:12" x14ac:dyDescent="0.3">
      <c r="B28" s="1"/>
      <c r="D28" s="1"/>
      <c r="F28" s="1"/>
      <c r="H28" s="1"/>
      <c r="J28" s="1"/>
      <c r="L28" s="1"/>
    </row>
    <row r="29" spans="1:12" x14ac:dyDescent="0.3">
      <c r="B29" s="1"/>
      <c r="D29" s="1"/>
      <c r="F29" s="1"/>
      <c r="H29" s="1"/>
      <c r="J29" s="1"/>
      <c r="L29" s="1"/>
    </row>
    <row r="30" spans="1:12" x14ac:dyDescent="0.3">
      <c r="B30" s="1"/>
      <c r="D30" s="1"/>
      <c r="F30" s="1"/>
      <c r="H30" s="1"/>
      <c r="J30" s="1"/>
      <c r="L30" s="1"/>
    </row>
    <row r="31" spans="1:12" x14ac:dyDescent="0.3">
      <c r="B31" s="1"/>
      <c r="D31" s="1"/>
      <c r="F31" s="1"/>
      <c r="H31" s="1"/>
      <c r="J31" s="1"/>
      <c r="L31" s="1"/>
    </row>
    <row r="32" spans="1:12" x14ac:dyDescent="0.3">
      <c r="B32" s="1"/>
      <c r="D32" s="1"/>
      <c r="F32" s="1"/>
      <c r="H32" s="1"/>
      <c r="J32" s="1"/>
      <c r="L32" s="1"/>
    </row>
    <row r="33" s="1" customFormat="1" x14ac:dyDescent="0.3"/>
    <row r="34" s="1" customFormat="1" x14ac:dyDescent="0.3"/>
    <row r="35" s="1" customFormat="1" x14ac:dyDescent="0.3"/>
    <row r="36" s="1" customFormat="1" x14ac:dyDescent="0.3"/>
    <row r="37" s="1" customFormat="1" x14ac:dyDescent="0.3"/>
    <row r="38" s="1" customFormat="1" x14ac:dyDescent="0.3"/>
    <row r="39" s="1" customFormat="1" x14ac:dyDescent="0.3"/>
    <row r="40" s="1" customFormat="1" x14ac:dyDescent="0.3"/>
    <row r="41" s="1" customFormat="1" x14ac:dyDescent="0.3"/>
    <row r="42" s="1" customFormat="1" x14ac:dyDescent="0.3"/>
    <row r="43" s="1" customFormat="1" x14ac:dyDescent="0.3"/>
    <row r="44" s="1" customFormat="1" x14ac:dyDescent="0.3"/>
    <row r="45" s="1" customFormat="1" x14ac:dyDescent="0.3"/>
    <row r="46" s="1" customFormat="1" x14ac:dyDescent="0.3"/>
    <row r="47" s="1" customFormat="1" x14ac:dyDescent="0.3"/>
    <row r="48" s="1" customFormat="1" x14ac:dyDescent="0.3"/>
    <row r="49" s="1" customFormat="1" x14ac:dyDescent="0.3"/>
    <row r="50" s="1" customFormat="1" x14ac:dyDescent="0.3"/>
    <row r="51" s="1" customFormat="1" x14ac:dyDescent="0.3"/>
    <row r="52" s="1" customFormat="1" x14ac:dyDescent="0.3"/>
    <row r="53" s="1" customFormat="1" x14ac:dyDescent="0.3"/>
    <row r="54" s="1" customFormat="1" x14ac:dyDescent="0.3"/>
    <row r="55" s="1" customFormat="1" x14ac:dyDescent="0.3"/>
    <row r="56" s="1" customFormat="1" x14ac:dyDescent="0.3"/>
    <row r="57" s="1" customFormat="1" x14ac:dyDescent="0.3"/>
    <row r="58" s="1" customFormat="1" x14ac:dyDescent="0.3"/>
    <row r="59" s="1" customFormat="1" x14ac:dyDescent="0.3"/>
    <row r="60" s="1" customFormat="1" x14ac:dyDescent="0.3"/>
    <row r="61" s="1" customFormat="1" x14ac:dyDescent="0.3"/>
    <row r="62" s="1" customFormat="1" x14ac:dyDescent="0.3"/>
    <row r="63" s="1" customFormat="1" x14ac:dyDescent="0.3"/>
    <row r="64"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1" customFormat="1" x14ac:dyDescent="0.3"/>
    <row r="119" s="1" customFormat="1" x14ac:dyDescent="0.3"/>
    <row r="120" s="1" customFormat="1" x14ac:dyDescent="0.3"/>
    <row r="121" s="1" customFormat="1" x14ac:dyDescent="0.3"/>
    <row r="122" s="1" customFormat="1" x14ac:dyDescent="0.3"/>
    <row r="123" s="1" customFormat="1" x14ac:dyDescent="0.3"/>
    <row r="124" s="1" customFormat="1" x14ac:dyDescent="0.3"/>
    <row r="125" s="1" customFormat="1" x14ac:dyDescent="0.3"/>
    <row r="126" s="1" customFormat="1" x14ac:dyDescent="0.3"/>
    <row r="127" s="1" customFormat="1" x14ac:dyDescent="0.3"/>
    <row r="128" s="1" customFormat="1" x14ac:dyDescent="0.3"/>
    <row r="129" s="1" customFormat="1" x14ac:dyDescent="0.3"/>
    <row r="130" s="1" customFormat="1" x14ac:dyDescent="0.3"/>
    <row r="131" s="1" customFormat="1" x14ac:dyDescent="0.3"/>
    <row r="132" s="1" customFormat="1" x14ac:dyDescent="0.3"/>
    <row r="133" s="1" customFormat="1" x14ac:dyDescent="0.3"/>
    <row r="134" s="1" customFormat="1" x14ac:dyDescent="0.3"/>
    <row r="135" s="1" customFormat="1" x14ac:dyDescent="0.3"/>
    <row r="136" s="1" customFormat="1" x14ac:dyDescent="0.3"/>
    <row r="137" s="1" customFormat="1" x14ac:dyDescent="0.3"/>
    <row r="138" s="1" customFormat="1" x14ac:dyDescent="0.3"/>
    <row r="139" s="1" customFormat="1" x14ac:dyDescent="0.3"/>
    <row r="140" s="1" customFormat="1" x14ac:dyDescent="0.3"/>
    <row r="141" s="1" customFormat="1" x14ac:dyDescent="0.3"/>
    <row r="142" s="1" customFormat="1" x14ac:dyDescent="0.3"/>
    <row r="143" s="1" customFormat="1" x14ac:dyDescent="0.3"/>
    <row r="144" s="1" customFormat="1" x14ac:dyDescent="0.3"/>
    <row r="145" s="1" customFormat="1" x14ac:dyDescent="0.3"/>
    <row r="146" s="1" customFormat="1" x14ac:dyDescent="0.3"/>
    <row r="147" s="1" customFormat="1" x14ac:dyDescent="0.3"/>
    <row r="148" s="1" customFormat="1" x14ac:dyDescent="0.3"/>
    <row r="149" s="1" customFormat="1" x14ac:dyDescent="0.3"/>
    <row r="150" s="1" customFormat="1" x14ac:dyDescent="0.3"/>
    <row r="151" s="1" customFormat="1" x14ac:dyDescent="0.3"/>
    <row r="152" s="1" customFormat="1" x14ac:dyDescent="0.3"/>
    <row r="153" s="1" customFormat="1" x14ac:dyDescent="0.3"/>
    <row r="154" s="1" customFormat="1" x14ac:dyDescent="0.3"/>
    <row r="155" s="1" customFormat="1" x14ac:dyDescent="0.3"/>
    <row r="156" s="1" customFormat="1" x14ac:dyDescent="0.3"/>
    <row r="157" s="1" customFormat="1" x14ac:dyDescent="0.3"/>
    <row r="158" s="1" customFormat="1" x14ac:dyDescent="0.3"/>
    <row r="159" s="1" customFormat="1" x14ac:dyDescent="0.3"/>
    <row r="160" s="1" customFormat="1" x14ac:dyDescent="0.3"/>
    <row r="161" s="1" customFormat="1" x14ac:dyDescent="0.3"/>
    <row r="162" s="1" customFormat="1" x14ac:dyDescent="0.3"/>
    <row r="163" s="1" customFormat="1" x14ac:dyDescent="0.3"/>
    <row r="164" s="1" customFormat="1" x14ac:dyDescent="0.3"/>
    <row r="165" s="1" customFormat="1" x14ac:dyDescent="0.3"/>
    <row r="166" s="1" customFormat="1" x14ac:dyDescent="0.3"/>
    <row r="167" s="1" customFormat="1" x14ac:dyDescent="0.3"/>
    <row r="168" s="1" customFormat="1" x14ac:dyDescent="0.3"/>
    <row r="169" s="1" customFormat="1" x14ac:dyDescent="0.3"/>
    <row r="170" s="1" customFormat="1" x14ac:dyDescent="0.3"/>
    <row r="171" s="1" customFormat="1" x14ac:dyDescent="0.3"/>
    <row r="172" s="1" customFormat="1" x14ac:dyDescent="0.3"/>
    <row r="173" s="1" customFormat="1" x14ac:dyDescent="0.3"/>
    <row r="174" s="1" customFormat="1" x14ac:dyDescent="0.3"/>
    <row r="175" s="1" customFormat="1" x14ac:dyDescent="0.3"/>
    <row r="176" s="1" customFormat="1" x14ac:dyDescent="0.3"/>
    <row r="177" s="1" customFormat="1" x14ac:dyDescent="0.3"/>
    <row r="178" s="1" customFormat="1" x14ac:dyDescent="0.3"/>
    <row r="179" s="1" customFormat="1" x14ac:dyDescent="0.3"/>
    <row r="180" s="1" customFormat="1" x14ac:dyDescent="0.3"/>
    <row r="181" s="1" customFormat="1" x14ac:dyDescent="0.3"/>
    <row r="182" s="1" customFormat="1" x14ac:dyDescent="0.3"/>
    <row r="183" s="1" customFormat="1" x14ac:dyDescent="0.3"/>
    <row r="184" s="1" customFormat="1" x14ac:dyDescent="0.3"/>
    <row r="185" s="1" customFormat="1" x14ac:dyDescent="0.3"/>
    <row r="186" s="1" customFormat="1" x14ac:dyDescent="0.3"/>
    <row r="187" s="1" customFormat="1" x14ac:dyDescent="0.3"/>
    <row r="188" s="1" customFormat="1" x14ac:dyDescent="0.3"/>
    <row r="189" s="1" customFormat="1" x14ac:dyDescent="0.3"/>
    <row r="190" s="1" customFormat="1" x14ac:dyDescent="0.3"/>
    <row r="191" s="1" customFormat="1" x14ac:dyDescent="0.3"/>
    <row r="192" s="1" customFormat="1" x14ac:dyDescent="0.3"/>
    <row r="193" s="1" customFormat="1" x14ac:dyDescent="0.3"/>
    <row r="194" s="1" customFormat="1" x14ac:dyDescent="0.3"/>
    <row r="195" s="1" customFormat="1" x14ac:dyDescent="0.3"/>
    <row r="196" s="1" customFormat="1" x14ac:dyDescent="0.3"/>
    <row r="197" s="1" customFormat="1" x14ac:dyDescent="0.3"/>
    <row r="198" s="1" customFormat="1" x14ac:dyDescent="0.3"/>
    <row r="199" s="1" customFormat="1" x14ac:dyDescent="0.3"/>
    <row r="200" s="1" customFormat="1" x14ac:dyDescent="0.3"/>
  </sheetData>
  <pageMargins left="0.7" right="0.7" top="0.75" bottom="0.75" header="0.3" footer="0.3"/>
  <drawing r:id="rId1"/>
  <legacyDrawing r:id="rId2"/>
  <controls>
    <mc:AlternateContent xmlns:mc="http://schemas.openxmlformats.org/markup-compatibility/2006">
      <mc:Choice Requires="x14">
        <control shapeId="25602" r:id="rId3" name="CommandButton2">
          <controlPr defaultSize="0" autoLine="0" autoPict="0" r:id="rId4">
            <anchor moveWithCells="1">
              <from>
                <xdr:col>11</xdr:col>
                <xdr:colOff>106680</xdr:colOff>
                <xdr:row>18</xdr:row>
                <xdr:rowOff>15240</xdr:rowOff>
              </from>
              <to>
                <xdr:col>12</xdr:col>
                <xdr:colOff>281940</xdr:colOff>
                <xdr:row>21</xdr:row>
                <xdr:rowOff>15240</xdr:rowOff>
              </to>
            </anchor>
          </controlPr>
        </control>
      </mc:Choice>
      <mc:Fallback>
        <control shapeId="25602" r:id="rId3" name="CommandButton2"/>
      </mc:Fallback>
    </mc:AlternateContent>
    <mc:AlternateContent xmlns:mc="http://schemas.openxmlformats.org/markup-compatibility/2006">
      <mc:Choice Requires="x14">
        <control shapeId="25601" r:id="rId5" name="CommandButton1">
          <controlPr defaultSize="0" autoLine="0" autoPict="0" r:id="rId6">
            <anchor moveWithCells="1">
              <from>
                <xdr:col>0</xdr:col>
                <xdr:colOff>0</xdr:colOff>
                <xdr:row>18</xdr:row>
                <xdr:rowOff>15240</xdr:rowOff>
              </from>
              <to>
                <xdr:col>1</xdr:col>
                <xdr:colOff>243840</xdr:colOff>
                <xdr:row>21</xdr:row>
                <xdr:rowOff>15240</xdr:rowOff>
              </to>
            </anchor>
          </controlPr>
        </control>
      </mc:Choice>
      <mc:Fallback>
        <control shapeId="25601" r:id="rId5" name="CommandButton1"/>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2488E-7A13-491D-BECA-39EA7DBD1C5C}">
  <sheetPr codeName="Sheet22"/>
  <dimension ref="A1:AE120"/>
  <sheetViews>
    <sheetView topLeftCell="S1" workbookViewId="0">
      <selection activeCell="W1" sqref="W1"/>
    </sheetView>
  </sheetViews>
  <sheetFormatPr defaultRowHeight="14.4" x14ac:dyDescent="0.3"/>
  <cols>
    <col min="13" max="13" width="20" customWidth="1"/>
    <col min="14" max="14" width="14.77734375" customWidth="1"/>
    <col min="15" max="15" width="6.77734375" customWidth="1"/>
    <col min="16" max="19" width="11.21875" customWidth="1"/>
    <col min="23" max="23" width="11.21875" customWidth="1"/>
    <col min="28" max="28" width="11.21875" customWidth="1"/>
    <col min="29" max="29" width="17.21875" customWidth="1"/>
  </cols>
  <sheetData>
    <row r="1" spans="1:31" x14ac:dyDescent="0.3">
      <c r="A1" s="8" t="s">
        <v>30</v>
      </c>
      <c r="B1" s="8" t="s">
        <v>34</v>
      </c>
      <c r="C1" s="8" t="s">
        <v>31</v>
      </c>
      <c r="D1" s="9" t="s">
        <v>35</v>
      </c>
      <c r="E1" s="8" t="s">
        <v>30</v>
      </c>
      <c r="F1" s="8" t="s">
        <v>34</v>
      </c>
      <c r="G1" s="8" t="s">
        <v>31</v>
      </c>
      <c r="H1" s="9" t="s">
        <v>35</v>
      </c>
      <c r="I1" s="8" t="s">
        <v>30</v>
      </c>
      <c r="J1" s="8" t="s">
        <v>34</v>
      </c>
      <c r="K1" s="8" t="s">
        <v>31</v>
      </c>
      <c r="L1" s="9" t="s">
        <v>35</v>
      </c>
      <c r="M1" s="6" t="s">
        <v>37</v>
      </c>
      <c r="N1" s="6" t="s">
        <v>38</v>
      </c>
      <c r="O1" s="6" t="s">
        <v>20</v>
      </c>
      <c r="P1" s="6" t="s">
        <v>36</v>
      </c>
      <c r="Q1" s="6" t="s">
        <v>41</v>
      </c>
      <c r="R1" s="6" t="s">
        <v>32</v>
      </c>
      <c r="S1" s="6" t="s">
        <v>42</v>
      </c>
      <c r="T1" s="6" t="s">
        <v>39</v>
      </c>
      <c r="U1" s="6" t="s">
        <v>40</v>
      </c>
      <c r="V1" s="6" t="s">
        <v>20</v>
      </c>
      <c r="W1" s="6" t="s">
        <v>36</v>
      </c>
      <c r="X1" s="6" t="s">
        <v>41</v>
      </c>
      <c r="Y1" s="6" t="s">
        <v>32</v>
      </c>
      <c r="Z1" s="6" t="s">
        <v>42</v>
      </c>
      <c r="AB1" s="6" t="s">
        <v>49</v>
      </c>
      <c r="AC1" s="6" t="s">
        <v>50</v>
      </c>
      <c r="AE1" t="e" cm="1" vm="1">
        <f t="array" aca="1" ref="AE1" ca="1">_xlfn.VSTACK(_xlfn._xlws.FILTER(P:S, (S:S&lt;&gt;"")*(S:S&lt;&gt;"Total Score")*(ISNA(S:S)=FALSE)), _xlfn._xlws.FILTER(W:Z, (X:X&lt;&gt;"")*(X:X&lt;&gt;"Total Score")*(ISNA(X:X)=FALSE)))</f>
        <v>#VALUE!</v>
      </c>
    </row>
    <row r="2" spans="1:31" x14ac:dyDescent="0.3">
      <c r="A2" t="str" cm="1">
        <f t="array" ref="A2">IFERROR(_xlfn._xlws.FILTER('Round 5'!$A:$B, ('Round 5'!$B:$B&lt;&gt;"")*('Round 5'!$A:$A&lt;&gt;"Affirmative")), "")</f>
        <v/>
      </c>
      <c r="C2" t="str" cm="1">
        <f t="array" ref="C2">IFERROR(_xlfn._xlws.FILTER('Round 5'!$C:$D, ('Round 5'!$D:$D&lt;&gt;"")*('Round 5'!$C:$C&lt;&gt;"Negative")), "")</f>
        <v/>
      </c>
      <c r="E2" t="str" cm="1">
        <f t="array" ref="E2">IFERROR(_xlfn._xlws.FILTER('Round 5'!$E:$F, ('Round 5'!$F:$F&lt;&gt;"")*('Round 5'!$E:$E&lt;&gt;"Affirmative")), "")</f>
        <v/>
      </c>
      <c r="G2" t="str" cm="1">
        <f t="array" ref="G2">IFERROR(_xlfn._xlws.FILTER('Round 5'!$G:$H, ('Round 5'!$H:$H&lt;&gt;"")*('Round 5'!$G:$G&lt;&gt;"Negative")), "")</f>
        <v/>
      </c>
      <c r="I2" t="str" cm="1">
        <f t="array" ref="I2">IFERROR(_xlfn._xlws.FILTER('Round 5'!$I:$J, ('Round 5'!$J:$J&lt;&gt;"")*('Round 5'!$I:$I&lt;&gt;"Affirmative")), "")</f>
        <v/>
      </c>
      <c r="K2" t="str" cm="1">
        <f t="array" ref="K2">IFERROR(_xlfn._xlws.FILTER('Round 5'!$K:$L, ('Round 5'!$L:$L&lt;&gt;"")*('Round 5'!$K:$K&lt;&gt;"Negative")), "")</f>
        <v/>
      </c>
      <c r="M2" t="str" cm="1">
        <f t="array" ref="M2:M4">IFERROR(_xlfn.VSTACK(_xlfn.ANCHORARRAY(A2),_xlfn.ANCHORARRAY( E2),_xlfn.ANCHORARRAY( I2)), "")</f>
        <v/>
      </c>
      <c r="O2" t="str">
        <f ca="1">IFERROR(INDEX(Roll!$C:$C, MATCH(M2, Roll!$B:$B, 0)), "")</f>
        <v/>
      </c>
      <c r="P2" t="str">
        <f ca="1">IF(O2&lt;&gt;"",IFERROR(MODE(O2:O4), O2), "")</f>
        <v/>
      </c>
      <c r="T2" t="str" cm="1">
        <f t="array" ref="T2:T4">IFERROR(_xlfn.VSTACK(_xlfn.ANCHORARRAY(C2),_xlfn.ANCHORARRAY( G2),_xlfn.ANCHORARRAY( K2)), "")</f>
        <v/>
      </c>
      <c r="V2" t="str">
        <f ca="1">IFERROR(INDEX(Roll!$C:$C, MATCH(T2, Roll!$B:$B, 0)), "")</f>
        <v/>
      </c>
      <c r="W2" t="str">
        <f ca="1">IF(V2&lt;&gt;"",IFERROR(MODE(V2:V4), V2), "")</f>
        <v/>
      </c>
      <c r="AB2" t="e" cm="1">
        <f t="array" ref="AB2">_xlfn.SORTBY(_xlfn.VSTACK(_xlfn.ANCHORARRAY(A2),_xlfn.ANCHORARRAY( C2),_xlfn.ANCHORARRAY( E2),_xlfn.ANCHORARRAY( G2),_xlfn.ANCHORARRAY( I2),_xlfn.ANCHORARRAY( K2)), INDEX(_xlfn.VSTACK(_xlfn.ANCHORARRAY(A2),_xlfn.ANCHORARRAY( C2),_xlfn.ANCHORARRAY( E2),_xlfn.ANCHORARRAY( G2),_xlfn.ANCHORARRAY( I2),_xlfn.ANCHORARRAY( K2)), , 2), -1)</f>
        <v>#REF!</v>
      </c>
    </row>
    <row r="3" spans="1:31" x14ac:dyDescent="0.3">
      <c r="M3" t="str">
        <v/>
      </c>
      <c r="O3" t="str">
        <f ca="1">IFERROR(INDEX(Roll!$C:$C, MATCH(M3, Roll!$B:$B, 0)), "")</f>
        <v/>
      </c>
      <c r="P3" t="str">
        <f ca="1">IF(O3&lt;&gt;"",IFERROR(MODE(O2:O4), O2), "")</f>
        <v/>
      </c>
      <c r="T3" t="str">
        <v/>
      </c>
      <c r="V3" t="str">
        <f ca="1">IFERROR(INDEX(Roll!$C:$C, MATCH(T3, Roll!$B:$B, 0)), "")</f>
        <v/>
      </c>
      <c r="W3" t="str">
        <f ca="1">IF(V3&lt;&gt;"",IFERROR(MODE(V2:V4), V2), "")</f>
        <v/>
      </c>
    </row>
    <row r="4" spans="1:31" x14ac:dyDescent="0.3">
      <c r="M4" t="str">
        <v/>
      </c>
      <c r="O4" t="str">
        <f ca="1">IFERROR(INDEX(Roll!$C:$C, MATCH(M4, Roll!$B:$B, 0)), "")</f>
        <v/>
      </c>
      <c r="P4" t="str">
        <f ca="1">IF(O4&lt;&gt;"",IFERROR(MODE(O2:O4), O2), "")</f>
        <v/>
      </c>
      <c r="Q4" t="str">
        <f>IF(N4&lt;&gt;"", IF(MOD(ROW()-1, 3)=0, SUM(N2:N4), ""), "")</f>
        <v/>
      </c>
      <c r="R4" t="str">
        <f>IFERROR(IF(MOD(ROW()-1, 3)=0, Q4-X4, ""), "")</f>
        <v/>
      </c>
      <c r="S4" t="str">
        <f>IF(N4&lt;&gt;"", IF(MOD(ROW()-1, 3)=0, IF((R4&gt;0), 1, 0), ""), "")</f>
        <v/>
      </c>
      <c r="T4" t="str">
        <v/>
      </c>
      <c r="V4" t="str">
        <f ca="1">IFERROR(INDEX(Roll!$C:$C, MATCH(T4, Roll!$B:$B, 0)), "")</f>
        <v/>
      </c>
      <c r="W4" t="str">
        <f ca="1">IF(V4&lt;&gt;"",IFERROR(MODE(V2:V4), V2), "")</f>
        <v/>
      </c>
      <c r="X4" t="str">
        <f>IF(U4&lt;&gt;"", IF(MOD(ROW()-1, 3)=0, SUM(U2:U4), ""), "")</f>
        <v/>
      </c>
      <c r="Y4" t="str">
        <f>IFERROR(IF(MOD(ROW()-1, 3)=0, X4-Q4, ""), "")</f>
        <v/>
      </c>
      <c r="Z4" t="str">
        <f>IF(U4&lt;&gt;"", IF(MOD(ROW()-1, 3)=0, IF((Y4&gt;0), 1, 0), ""), "")</f>
        <v/>
      </c>
    </row>
    <row r="5" spans="1:31" x14ac:dyDescent="0.3">
      <c r="O5" t="str">
        <f ca="1">IFERROR(INDEX(Roll!$C:$C, MATCH(M5, Roll!$B:$B, 0)), "")</f>
        <v/>
      </c>
      <c r="P5" t="str">
        <f ca="1">IF(O5&lt;&gt;"", IFERROR(MODE(O5:O7), O5), "")</f>
        <v/>
      </c>
      <c r="Q5" t="str">
        <f t="shared" ref="Q5:Q60" si="0">IF(N5&lt;&gt;"", IF(MOD(ROW()-1, 3)=0, SUM(N3:N5), ""), "")</f>
        <v/>
      </c>
      <c r="R5" t="str">
        <f t="shared" ref="R5:R60" si="1">IFERROR(IF(MOD(ROW()-1, 3)=0, Q5-X5, ""), "")</f>
        <v/>
      </c>
      <c r="S5" t="str">
        <f t="shared" ref="S5:S60" si="2">IF(N5&lt;&gt;"", IF(MOD(ROW()-1, 3)=0, IF((R5&gt;0), 1, 0), ""), "")</f>
        <v/>
      </c>
      <c r="V5" t="str">
        <f ca="1">IFERROR(INDEX(Roll!$C:$C, MATCH(T5, Roll!$B:$B, 0)), "")</f>
        <v/>
      </c>
      <c r="W5" t="str">
        <f ca="1">IF(V5&lt;&gt;"", IFERROR(MODE(V5:V7), V5), "")</f>
        <v/>
      </c>
      <c r="X5" t="str">
        <f t="shared" ref="X5:X60" si="3">IF(U5&lt;&gt;"", IF(MOD(ROW()-1, 3)=0, SUM(U3:U5), ""), "")</f>
        <v/>
      </c>
      <c r="Y5" t="str">
        <f t="shared" ref="Y5:Y60" si="4">IFERROR(IF(MOD(ROW()-1, 3)=0, X5-Q5, ""), "")</f>
        <v/>
      </c>
      <c r="Z5" t="str">
        <f t="shared" ref="Z5:Z60" si="5">IF(U5&lt;&gt;"", IF(MOD(ROW()-1, 3)=0, IF((Y5&gt;0), 1, 0), ""), "")</f>
        <v/>
      </c>
    </row>
    <row r="6" spans="1:31" x14ac:dyDescent="0.3">
      <c r="O6" t="str">
        <f ca="1">IFERROR(INDEX(Roll!$C:$C, MATCH(M6, Roll!$B:$B, 0)), "")</f>
        <v/>
      </c>
      <c r="P6" t="str">
        <f ca="1">IF(O6&lt;&gt;"", IFERROR(MODE(O5:O7), O5), "")</f>
        <v/>
      </c>
      <c r="Q6" t="str">
        <f t="shared" si="0"/>
        <v/>
      </c>
      <c r="R6" t="str">
        <f t="shared" si="1"/>
        <v/>
      </c>
      <c r="S6" t="str">
        <f t="shared" si="2"/>
        <v/>
      </c>
      <c r="V6" t="str">
        <f ca="1">IFERROR(INDEX(Roll!$C:$C, MATCH(T6, Roll!$B:$B, 0)), "")</f>
        <v/>
      </c>
      <c r="W6" t="str">
        <f ca="1">IF(V6&lt;&gt;"", IFERROR(MODE(V5:V7), V5), "")</f>
        <v/>
      </c>
      <c r="X6" t="str">
        <f t="shared" si="3"/>
        <v/>
      </c>
      <c r="Y6" t="str">
        <f t="shared" si="4"/>
        <v/>
      </c>
      <c r="Z6" t="str">
        <f t="shared" si="5"/>
        <v/>
      </c>
    </row>
    <row r="7" spans="1:31" x14ac:dyDescent="0.3">
      <c r="O7" t="str">
        <f ca="1">IFERROR(INDEX(Roll!$C:$C, MATCH(M7, Roll!$B:$B, 0)), "")</f>
        <v/>
      </c>
      <c r="P7" t="str">
        <f ca="1">IF(O7&lt;&gt;"", IFERROR(MODE(O5:O7), O5), "")</f>
        <v/>
      </c>
      <c r="Q7" t="str">
        <f t="shared" si="0"/>
        <v/>
      </c>
      <c r="R7" t="str">
        <f t="shared" si="1"/>
        <v/>
      </c>
      <c r="S7" t="str">
        <f t="shared" si="2"/>
        <v/>
      </c>
      <c r="V7" t="str">
        <f ca="1">IFERROR(INDEX(Roll!$C:$C, MATCH(T7, Roll!$B:$B, 0)), "")</f>
        <v/>
      </c>
      <c r="W7" t="str">
        <f ca="1">IF(V7&lt;&gt;"", IFERROR(MODE(V5:V7), V5), "")</f>
        <v/>
      </c>
      <c r="X7" t="str">
        <f t="shared" si="3"/>
        <v/>
      </c>
      <c r="Y7" t="str">
        <f t="shared" si="4"/>
        <v/>
      </c>
      <c r="Z7" t="str">
        <f t="shared" si="5"/>
        <v/>
      </c>
    </row>
    <row r="8" spans="1:31" x14ac:dyDescent="0.3">
      <c r="O8" t="str">
        <f ca="1">IFERROR(INDEX(Roll!$C:$C, MATCH(M8, Roll!$B:$B, 0)), "")</f>
        <v/>
      </c>
      <c r="P8" t="str">
        <f t="shared" ref="P8" ca="1" si="6">IF(O8&lt;&gt;"",IFERROR(MODE(O8:O10), O8), "")</f>
        <v/>
      </c>
      <c r="Q8" t="str">
        <f t="shared" si="0"/>
        <v/>
      </c>
      <c r="R8" t="str">
        <f t="shared" si="1"/>
        <v/>
      </c>
      <c r="S8" t="str">
        <f t="shared" si="2"/>
        <v/>
      </c>
      <c r="V8" t="str">
        <f ca="1">IFERROR(INDEX(Roll!$C:$C, MATCH(T8, Roll!$B:$B, 0)), "")</f>
        <v/>
      </c>
      <c r="W8" t="str">
        <f t="shared" ref="W8" ca="1" si="7">IF(V8&lt;&gt;"",IFERROR(MODE(V8:V10), V8), "")</f>
        <v/>
      </c>
      <c r="X8" t="str">
        <f t="shared" si="3"/>
        <v/>
      </c>
      <c r="Y8" t="str">
        <f t="shared" si="4"/>
        <v/>
      </c>
      <c r="Z8" t="str">
        <f t="shared" si="5"/>
        <v/>
      </c>
    </row>
    <row r="9" spans="1:31" x14ac:dyDescent="0.3">
      <c r="O9" t="str">
        <f ca="1">IFERROR(INDEX(Roll!$C:$C, MATCH(M9, Roll!$B:$B, 0)), "")</f>
        <v/>
      </c>
      <c r="P9" t="str">
        <f t="shared" ref="P9" ca="1" si="8">IF(O9&lt;&gt;"",IFERROR(MODE(O8:O10), O8), "")</f>
        <v/>
      </c>
      <c r="Q9" t="str">
        <f t="shared" si="0"/>
        <v/>
      </c>
      <c r="R9" t="str">
        <f t="shared" si="1"/>
        <v/>
      </c>
      <c r="S9" t="str">
        <f t="shared" si="2"/>
        <v/>
      </c>
      <c r="V9" t="str">
        <f ca="1">IFERROR(INDEX(Roll!$C:$C, MATCH(T9, Roll!$B:$B, 0)), "")</f>
        <v/>
      </c>
      <c r="W9" t="str">
        <f t="shared" ref="W9" ca="1" si="9">IF(V9&lt;&gt;"",IFERROR(MODE(V8:V10), V8), "")</f>
        <v/>
      </c>
      <c r="X9" t="str">
        <f t="shared" si="3"/>
        <v/>
      </c>
      <c r="Y9" t="str">
        <f t="shared" si="4"/>
        <v/>
      </c>
      <c r="Z9" t="str">
        <f t="shared" si="5"/>
        <v/>
      </c>
    </row>
    <row r="10" spans="1:31" x14ac:dyDescent="0.3">
      <c r="O10" t="str">
        <f ca="1">IFERROR(INDEX(Roll!$C:$C, MATCH(M10, Roll!$B:$B, 0)), "")</f>
        <v/>
      </c>
      <c r="P10" t="str">
        <f t="shared" ref="P10" ca="1" si="10">IF(O10&lt;&gt;"",IFERROR(MODE(O8:O10), O8), "")</f>
        <v/>
      </c>
      <c r="Q10" t="str">
        <f t="shared" si="0"/>
        <v/>
      </c>
      <c r="R10" t="str">
        <f t="shared" si="1"/>
        <v/>
      </c>
      <c r="S10" t="str">
        <f t="shared" si="2"/>
        <v/>
      </c>
      <c r="V10" t="str">
        <f ca="1">IFERROR(INDEX(Roll!$C:$C, MATCH(T10, Roll!$B:$B, 0)), "")</f>
        <v/>
      </c>
      <c r="W10" t="str">
        <f t="shared" ref="W10" ca="1" si="11">IF(V10&lt;&gt;"",IFERROR(MODE(V8:V10), V8), "")</f>
        <v/>
      </c>
      <c r="X10" t="str">
        <f t="shared" si="3"/>
        <v/>
      </c>
      <c r="Y10" t="str">
        <f t="shared" si="4"/>
        <v/>
      </c>
      <c r="Z10" t="str">
        <f t="shared" si="5"/>
        <v/>
      </c>
    </row>
    <row r="11" spans="1:31" x14ac:dyDescent="0.3">
      <c r="O11" t="str">
        <f ca="1">IFERROR(INDEX(Roll!$C:$C, MATCH(M11, Roll!$B:$B, 0)), "")</f>
        <v/>
      </c>
      <c r="P11" t="str">
        <f t="shared" ref="P11" ca="1" si="12">IF(O11&lt;&gt;"", IFERROR(MODE(O11:O13), O11), "")</f>
        <v/>
      </c>
      <c r="Q11" t="str">
        <f t="shared" si="0"/>
        <v/>
      </c>
      <c r="R11" t="str">
        <f t="shared" si="1"/>
        <v/>
      </c>
      <c r="S11" t="str">
        <f t="shared" si="2"/>
        <v/>
      </c>
      <c r="V11" t="str">
        <f ca="1">IFERROR(INDEX(Roll!$C:$C, MATCH(T11, Roll!$B:$B, 0)), "")</f>
        <v/>
      </c>
      <c r="W11" t="str">
        <f t="shared" ref="W11" ca="1" si="13">IF(V11&lt;&gt;"", IFERROR(MODE(V11:V13), V11), "")</f>
        <v/>
      </c>
      <c r="X11" t="str">
        <f t="shared" si="3"/>
        <v/>
      </c>
      <c r="Y11" t="str">
        <f t="shared" si="4"/>
        <v/>
      </c>
      <c r="Z11" t="str">
        <f t="shared" si="5"/>
        <v/>
      </c>
    </row>
    <row r="12" spans="1:31" x14ac:dyDescent="0.3">
      <c r="O12" t="str">
        <f ca="1">IFERROR(INDEX(Roll!$C:$C, MATCH(M12, Roll!$B:$B, 0)), "")</f>
        <v/>
      </c>
      <c r="P12" t="str">
        <f t="shared" ref="P12" ca="1" si="14">IF(O12&lt;&gt;"", IFERROR(MODE(O11:O13), O11), "")</f>
        <v/>
      </c>
      <c r="Q12" t="str">
        <f t="shared" si="0"/>
        <v/>
      </c>
      <c r="R12" t="str">
        <f t="shared" si="1"/>
        <v/>
      </c>
      <c r="S12" t="str">
        <f t="shared" si="2"/>
        <v/>
      </c>
      <c r="V12" t="str">
        <f ca="1">IFERROR(INDEX(Roll!$C:$C, MATCH(T12, Roll!$B:$B, 0)), "")</f>
        <v/>
      </c>
      <c r="W12" t="str">
        <f t="shared" ref="W12" ca="1" si="15">IF(V12&lt;&gt;"", IFERROR(MODE(V11:V13), V11), "")</f>
        <v/>
      </c>
      <c r="X12" t="str">
        <f t="shared" si="3"/>
        <v/>
      </c>
      <c r="Y12" t="str">
        <f t="shared" si="4"/>
        <v/>
      </c>
      <c r="Z12" t="str">
        <f t="shared" si="5"/>
        <v/>
      </c>
    </row>
    <row r="13" spans="1:31" x14ac:dyDescent="0.3">
      <c r="O13" t="str">
        <f ca="1">IFERROR(INDEX(Roll!$C:$C, MATCH(M13, Roll!$B:$B, 0)), "")</f>
        <v/>
      </c>
      <c r="P13" t="str">
        <f t="shared" ref="P13" ca="1" si="16">IF(O13&lt;&gt;"", IFERROR(MODE(O11:O13), O11), "")</f>
        <v/>
      </c>
      <c r="Q13" t="str">
        <f t="shared" si="0"/>
        <v/>
      </c>
      <c r="R13" t="str">
        <f t="shared" si="1"/>
        <v/>
      </c>
      <c r="S13" t="str">
        <f t="shared" si="2"/>
        <v/>
      </c>
      <c r="V13" t="str">
        <f ca="1">IFERROR(INDEX(Roll!$C:$C, MATCH(T13, Roll!$B:$B, 0)), "")</f>
        <v/>
      </c>
      <c r="W13" t="str">
        <f t="shared" ref="W13" ca="1" si="17">IF(V13&lt;&gt;"", IFERROR(MODE(V11:V13), V11), "")</f>
        <v/>
      </c>
      <c r="X13" t="str">
        <f t="shared" si="3"/>
        <v/>
      </c>
      <c r="Y13" t="str">
        <f t="shared" si="4"/>
        <v/>
      </c>
      <c r="Z13" t="str">
        <f t="shared" si="5"/>
        <v/>
      </c>
    </row>
    <row r="14" spans="1:31" x14ac:dyDescent="0.3">
      <c r="O14" t="str">
        <f ca="1">IFERROR(INDEX(Roll!$C:$C, MATCH(M14, Roll!$B:$B, 0)), "")</f>
        <v/>
      </c>
      <c r="P14" t="str">
        <f t="shared" ref="P14" ca="1" si="18">IF(O14&lt;&gt;"",IFERROR(MODE(O14:O16), O14), "")</f>
        <v/>
      </c>
      <c r="Q14" t="str">
        <f t="shared" si="0"/>
        <v/>
      </c>
      <c r="R14" t="str">
        <f t="shared" si="1"/>
        <v/>
      </c>
      <c r="S14" t="str">
        <f t="shared" si="2"/>
        <v/>
      </c>
      <c r="V14" t="str">
        <f ca="1">IFERROR(INDEX(Roll!$C:$C, MATCH(T14, Roll!$B:$B, 0)), "")</f>
        <v/>
      </c>
      <c r="W14" t="str">
        <f t="shared" ref="W14" ca="1" si="19">IF(V14&lt;&gt;"",IFERROR(MODE(V14:V16), V14), "")</f>
        <v/>
      </c>
      <c r="X14" t="str">
        <f t="shared" si="3"/>
        <v/>
      </c>
      <c r="Y14" t="str">
        <f t="shared" si="4"/>
        <v/>
      </c>
      <c r="Z14" t="str">
        <f t="shared" si="5"/>
        <v/>
      </c>
    </row>
    <row r="15" spans="1:31" x14ac:dyDescent="0.3">
      <c r="O15" t="str">
        <f ca="1">IFERROR(INDEX(Roll!$C:$C, MATCH(M15, Roll!$B:$B, 0)), "")</f>
        <v/>
      </c>
      <c r="P15" t="str">
        <f t="shared" ref="P15" ca="1" si="20">IF(O15&lt;&gt;"",IFERROR(MODE(O14:O16), O14), "")</f>
        <v/>
      </c>
      <c r="Q15" t="str">
        <f t="shared" si="0"/>
        <v/>
      </c>
      <c r="R15" t="str">
        <f t="shared" si="1"/>
        <v/>
      </c>
      <c r="S15" t="str">
        <f t="shared" si="2"/>
        <v/>
      </c>
      <c r="V15" t="str">
        <f ca="1">IFERROR(INDEX(Roll!$C:$C, MATCH(T15, Roll!$B:$B, 0)), "")</f>
        <v/>
      </c>
      <c r="W15" t="str">
        <f t="shared" ref="W15" ca="1" si="21">IF(V15&lt;&gt;"",IFERROR(MODE(V14:V16), V14), "")</f>
        <v/>
      </c>
      <c r="X15" t="str">
        <f t="shared" si="3"/>
        <v/>
      </c>
      <c r="Y15" t="str">
        <f t="shared" si="4"/>
        <v/>
      </c>
      <c r="Z15" t="str">
        <f t="shared" si="5"/>
        <v/>
      </c>
    </row>
    <row r="16" spans="1:31" x14ac:dyDescent="0.3">
      <c r="O16" t="str">
        <f ca="1">IFERROR(INDEX(Roll!$C:$C, MATCH(M16, Roll!$B:$B, 0)), "")</f>
        <v/>
      </c>
      <c r="P16" t="str">
        <f t="shared" ref="P16" ca="1" si="22">IF(O16&lt;&gt;"",IFERROR(MODE(O14:O16), O14), "")</f>
        <v/>
      </c>
      <c r="Q16" t="str">
        <f t="shared" si="0"/>
        <v/>
      </c>
      <c r="R16" t="str">
        <f t="shared" si="1"/>
        <v/>
      </c>
      <c r="S16" t="str">
        <f t="shared" si="2"/>
        <v/>
      </c>
      <c r="V16" t="str">
        <f ca="1">IFERROR(INDEX(Roll!$C:$C, MATCH(T16, Roll!$B:$B, 0)), "")</f>
        <v/>
      </c>
      <c r="W16" t="str">
        <f t="shared" ref="W16" ca="1" si="23">IF(V16&lt;&gt;"",IFERROR(MODE(V14:V16), V14), "")</f>
        <v/>
      </c>
      <c r="X16" t="str">
        <f t="shared" si="3"/>
        <v/>
      </c>
      <c r="Y16" t="str">
        <f t="shared" si="4"/>
        <v/>
      </c>
      <c r="Z16" t="str">
        <f t="shared" si="5"/>
        <v/>
      </c>
    </row>
    <row r="17" spans="15:26" x14ac:dyDescent="0.3">
      <c r="O17" t="str">
        <f ca="1">IFERROR(INDEX(Roll!$C:$C, MATCH(M17, Roll!$B:$B, 0)), "")</f>
        <v/>
      </c>
      <c r="P17" t="str">
        <f t="shared" ref="P17" ca="1" si="24">IF(O17&lt;&gt;"", IFERROR(MODE(O17:O19), O17), "")</f>
        <v/>
      </c>
      <c r="Q17" t="str">
        <f t="shared" si="0"/>
        <v/>
      </c>
      <c r="R17" t="str">
        <f t="shared" si="1"/>
        <v/>
      </c>
      <c r="S17" t="str">
        <f t="shared" si="2"/>
        <v/>
      </c>
      <c r="V17" t="str">
        <f ca="1">IFERROR(INDEX(Roll!$C:$C, MATCH(T17, Roll!$B:$B, 0)), "")</f>
        <v/>
      </c>
      <c r="W17" t="str">
        <f t="shared" ref="W17" ca="1" si="25">IF(V17&lt;&gt;"", IFERROR(MODE(V17:V19), V17), "")</f>
        <v/>
      </c>
      <c r="X17" t="str">
        <f t="shared" si="3"/>
        <v/>
      </c>
      <c r="Y17" t="str">
        <f t="shared" si="4"/>
        <v/>
      </c>
      <c r="Z17" t="str">
        <f t="shared" si="5"/>
        <v/>
      </c>
    </row>
    <row r="18" spans="15:26" x14ac:dyDescent="0.3">
      <c r="O18" t="str">
        <f ca="1">IFERROR(INDEX(Roll!$C:$C, MATCH(M18, Roll!$B:$B, 0)), "")</f>
        <v/>
      </c>
      <c r="P18" t="str">
        <f t="shared" ref="P18" ca="1" si="26">IF(O18&lt;&gt;"", IFERROR(MODE(O17:O19), O17), "")</f>
        <v/>
      </c>
      <c r="Q18" t="str">
        <f t="shared" si="0"/>
        <v/>
      </c>
      <c r="R18" t="str">
        <f t="shared" si="1"/>
        <v/>
      </c>
      <c r="S18" t="str">
        <f t="shared" si="2"/>
        <v/>
      </c>
      <c r="V18" t="str">
        <f ca="1">IFERROR(INDEX(Roll!$C:$C, MATCH(T18, Roll!$B:$B, 0)), "")</f>
        <v/>
      </c>
      <c r="W18" t="str">
        <f t="shared" ref="W18" ca="1" si="27">IF(V18&lt;&gt;"", IFERROR(MODE(V17:V19), V17), "")</f>
        <v/>
      </c>
      <c r="X18" t="str">
        <f t="shared" si="3"/>
        <v/>
      </c>
      <c r="Y18" t="str">
        <f t="shared" si="4"/>
        <v/>
      </c>
      <c r="Z18" t="str">
        <f t="shared" si="5"/>
        <v/>
      </c>
    </row>
    <row r="19" spans="15:26" x14ac:dyDescent="0.3">
      <c r="O19" t="str">
        <f ca="1">IFERROR(INDEX(Roll!$C:$C, MATCH(M19, Roll!$B:$B, 0)), "")</f>
        <v/>
      </c>
      <c r="P19" t="str">
        <f t="shared" ref="P19" ca="1" si="28">IF(O19&lt;&gt;"", IFERROR(MODE(O17:O19), O17), "")</f>
        <v/>
      </c>
      <c r="Q19" t="str">
        <f t="shared" si="0"/>
        <v/>
      </c>
      <c r="R19" t="str">
        <f t="shared" si="1"/>
        <v/>
      </c>
      <c r="S19" t="str">
        <f t="shared" si="2"/>
        <v/>
      </c>
      <c r="V19" t="str">
        <f ca="1">IFERROR(INDEX(Roll!$C:$C, MATCH(T19, Roll!$B:$B, 0)), "")</f>
        <v/>
      </c>
      <c r="W19" t="str">
        <f t="shared" ref="W19" ca="1" si="29">IF(V19&lt;&gt;"", IFERROR(MODE(V17:V19), V17), "")</f>
        <v/>
      </c>
      <c r="X19" t="str">
        <f t="shared" si="3"/>
        <v/>
      </c>
      <c r="Y19" t="str">
        <f t="shared" si="4"/>
        <v/>
      </c>
      <c r="Z19" t="str">
        <f t="shared" si="5"/>
        <v/>
      </c>
    </row>
    <row r="20" spans="15:26" x14ac:dyDescent="0.3">
      <c r="O20" t="str">
        <f ca="1">IFERROR(INDEX(Roll!$C:$C, MATCH(M20, Roll!$B:$B, 0)), "")</f>
        <v/>
      </c>
      <c r="P20" t="str">
        <f t="shared" ref="P20" ca="1" si="30">IF(O20&lt;&gt;"",IFERROR(MODE(O20:O22), O20), "")</f>
        <v/>
      </c>
      <c r="Q20" t="str">
        <f t="shared" si="0"/>
        <v/>
      </c>
      <c r="R20" t="str">
        <f t="shared" si="1"/>
        <v/>
      </c>
      <c r="S20" t="str">
        <f t="shared" si="2"/>
        <v/>
      </c>
      <c r="V20" t="str">
        <f ca="1">IFERROR(INDEX(Roll!$C:$C, MATCH(T20, Roll!$B:$B, 0)), "")</f>
        <v/>
      </c>
      <c r="W20" t="str">
        <f t="shared" ref="W20:W56" ca="1" si="31">IF(V20&lt;&gt;"",IFERROR(MODE(V20:V22), V20), "")</f>
        <v/>
      </c>
      <c r="X20" t="str">
        <f t="shared" si="3"/>
        <v/>
      </c>
      <c r="Y20" t="str">
        <f t="shared" si="4"/>
        <v/>
      </c>
      <c r="Z20" t="str">
        <f t="shared" si="5"/>
        <v/>
      </c>
    </row>
    <row r="21" spans="15:26" x14ac:dyDescent="0.3">
      <c r="O21" t="str">
        <f ca="1">IFERROR(INDEX(Roll!$C:$C, MATCH(M21, Roll!$B:$B, 0)), "")</f>
        <v/>
      </c>
      <c r="P21" t="str">
        <f t="shared" ref="P21" ca="1" si="32">IF(O21&lt;&gt;"",IFERROR(MODE(O20:O22), O20), "")</f>
        <v/>
      </c>
      <c r="Q21" t="str">
        <f t="shared" si="0"/>
        <v/>
      </c>
      <c r="R21" t="str">
        <f t="shared" si="1"/>
        <v/>
      </c>
      <c r="S21" t="str">
        <f t="shared" si="2"/>
        <v/>
      </c>
      <c r="V21" t="str">
        <f ca="1">IFERROR(INDEX(Roll!$C:$C, MATCH(T21, Roll!$B:$B, 0)), "")</f>
        <v/>
      </c>
      <c r="W21" t="str">
        <f t="shared" ref="W21:W57" ca="1" si="33">IF(V21&lt;&gt;"",IFERROR(MODE(V20:V22), V20), "")</f>
        <v/>
      </c>
      <c r="X21" t="str">
        <f t="shared" si="3"/>
        <v/>
      </c>
      <c r="Y21" t="str">
        <f t="shared" si="4"/>
        <v/>
      </c>
      <c r="Z21" t="str">
        <f t="shared" si="5"/>
        <v/>
      </c>
    </row>
    <row r="22" spans="15:26" x14ac:dyDescent="0.3">
      <c r="O22" t="str">
        <f ca="1">IFERROR(INDEX(Roll!$C:$C, MATCH(M22, Roll!$B:$B, 0)), "")</f>
        <v/>
      </c>
      <c r="P22" t="str">
        <f t="shared" ref="P22" ca="1" si="34">IF(O22&lt;&gt;"",IFERROR(MODE(O20:O22), O20), "")</f>
        <v/>
      </c>
      <c r="Q22" t="str">
        <f t="shared" si="0"/>
        <v/>
      </c>
      <c r="R22" t="str">
        <f t="shared" si="1"/>
        <v/>
      </c>
      <c r="S22" t="str">
        <f t="shared" si="2"/>
        <v/>
      </c>
      <c r="V22" t="str">
        <f ca="1">IFERROR(INDEX(Roll!$C:$C, MATCH(T22, Roll!$B:$B, 0)), "")</f>
        <v/>
      </c>
      <c r="W22" t="str">
        <f t="shared" ref="W22:W58" ca="1" si="35">IF(V22&lt;&gt;"",IFERROR(MODE(V20:V22), V20), "")</f>
        <v/>
      </c>
      <c r="X22" t="str">
        <f t="shared" si="3"/>
        <v/>
      </c>
      <c r="Y22" t="str">
        <f t="shared" si="4"/>
        <v/>
      </c>
      <c r="Z22" t="str">
        <f t="shared" si="5"/>
        <v/>
      </c>
    </row>
    <row r="23" spans="15:26" x14ac:dyDescent="0.3">
      <c r="O23" t="str">
        <f ca="1">IFERROR(INDEX(Roll!$C:$C, MATCH(M23, Roll!$B:$B, 0)), "")</f>
        <v/>
      </c>
      <c r="P23" t="str">
        <f t="shared" ref="P23" ca="1" si="36">IF(O23&lt;&gt;"", IFERROR(MODE(O23:O25), O23), "")</f>
        <v/>
      </c>
      <c r="Q23" t="str">
        <f t="shared" si="0"/>
        <v/>
      </c>
      <c r="R23" t="str">
        <f t="shared" si="1"/>
        <v/>
      </c>
      <c r="S23" t="str">
        <f t="shared" si="2"/>
        <v/>
      </c>
      <c r="V23" t="str">
        <f ca="1">IFERROR(INDEX(Roll!$C:$C, MATCH(T23, Roll!$B:$B, 0)), "")</f>
        <v/>
      </c>
      <c r="W23" t="str">
        <f t="shared" ref="W23:W59" ca="1" si="37">IF(V23&lt;&gt;"", IFERROR(MODE(V23:V25), V23), "")</f>
        <v/>
      </c>
      <c r="X23" t="str">
        <f t="shared" si="3"/>
        <v/>
      </c>
      <c r="Y23" t="str">
        <f t="shared" si="4"/>
        <v/>
      </c>
      <c r="Z23" t="str">
        <f t="shared" si="5"/>
        <v/>
      </c>
    </row>
    <row r="24" spans="15:26" x14ac:dyDescent="0.3">
      <c r="O24" t="str">
        <f ca="1">IFERROR(INDEX(Roll!$C:$C, MATCH(M24, Roll!$B:$B, 0)), "")</f>
        <v/>
      </c>
      <c r="P24" t="str">
        <f t="shared" ref="P24" ca="1" si="38">IF(O24&lt;&gt;"", IFERROR(MODE(O23:O25), O23), "")</f>
        <v/>
      </c>
      <c r="Q24" t="str">
        <f t="shared" si="0"/>
        <v/>
      </c>
      <c r="R24" t="str">
        <f t="shared" si="1"/>
        <v/>
      </c>
      <c r="S24" t="str">
        <f t="shared" si="2"/>
        <v/>
      </c>
      <c r="V24" t="str">
        <f ca="1">IFERROR(INDEX(Roll!$C:$C, MATCH(T24, Roll!$B:$B, 0)), "")</f>
        <v/>
      </c>
      <c r="W24" t="str">
        <f t="shared" ref="W24:W60" ca="1" si="39">IF(V24&lt;&gt;"", IFERROR(MODE(V23:V25), V23), "")</f>
        <v/>
      </c>
      <c r="X24" t="str">
        <f t="shared" si="3"/>
        <v/>
      </c>
      <c r="Y24" t="str">
        <f t="shared" si="4"/>
        <v/>
      </c>
      <c r="Z24" t="str">
        <f t="shared" si="5"/>
        <v/>
      </c>
    </row>
    <row r="25" spans="15:26" x14ac:dyDescent="0.3">
      <c r="O25" t="str">
        <f ca="1">IFERROR(INDEX(Roll!$C:$C, MATCH(M25, Roll!$B:$B, 0)), "")</f>
        <v/>
      </c>
      <c r="P25" t="str">
        <f t="shared" ref="P25" ca="1" si="40">IF(O25&lt;&gt;"", IFERROR(MODE(O23:O25), O23), "")</f>
        <v/>
      </c>
      <c r="Q25" t="str">
        <f t="shared" si="0"/>
        <v/>
      </c>
      <c r="R25" t="str">
        <f t="shared" si="1"/>
        <v/>
      </c>
      <c r="S25" t="str">
        <f t="shared" si="2"/>
        <v/>
      </c>
      <c r="V25" t="str">
        <f ca="1">IFERROR(INDEX(Roll!$C:$C, MATCH(T25, Roll!$B:$B, 0)), "")</f>
        <v/>
      </c>
      <c r="W25" t="str">
        <f t="shared" ref="W25:W49" ca="1" si="41">IF(V25&lt;&gt;"", IFERROR(MODE(V23:V25), V23), "")</f>
        <v/>
      </c>
      <c r="X25" t="str">
        <f t="shared" si="3"/>
        <v/>
      </c>
      <c r="Y25" t="str">
        <f t="shared" si="4"/>
        <v/>
      </c>
      <c r="Z25" t="str">
        <f t="shared" si="5"/>
        <v/>
      </c>
    </row>
    <row r="26" spans="15:26" x14ac:dyDescent="0.3">
      <c r="O26" t="str">
        <f ca="1">IFERROR(INDEX(Roll!$C:$C, MATCH(M26, Roll!$B:$B, 0)), "")</f>
        <v/>
      </c>
      <c r="P26" t="str">
        <f t="shared" ref="P26" ca="1" si="42">IF(O26&lt;&gt;"",IFERROR(MODE(O26:O28), O26), "")</f>
        <v/>
      </c>
      <c r="Q26" t="str">
        <f t="shared" si="0"/>
        <v/>
      </c>
      <c r="R26" t="str">
        <f t="shared" si="1"/>
        <v/>
      </c>
      <c r="S26" t="str">
        <f t="shared" si="2"/>
        <v/>
      </c>
      <c r="V26" t="str">
        <f ca="1">IFERROR(INDEX(Roll!$C:$C, MATCH(T26, Roll!$B:$B, 0)), "")</f>
        <v/>
      </c>
      <c r="W26" t="str">
        <f t="shared" ref="W26" ca="1" si="43">IF(V26&lt;&gt;"",IFERROR(MODE(V26:V28), V26), "")</f>
        <v/>
      </c>
      <c r="X26" t="str">
        <f t="shared" si="3"/>
        <v/>
      </c>
      <c r="Y26" t="str">
        <f t="shared" si="4"/>
        <v/>
      </c>
      <c r="Z26" t="str">
        <f t="shared" si="5"/>
        <v/>
      </c>
    </row>
    <row r="27" spans="15:26" x14ac:dyDescent="0.3">
      <c r="O27" t="str">
        <f ca="1">IFERROR(INDEX(Roll!$C:$C, MATCH(M27, Roll!$B:$B, 0)), "")</f>
        <v/>
      </c>
      <c r="P27" t="str">
        <f t="shared" ref="P27" ca="1" si="44">IF(O27&lt;&gt;"",IFERROR(MODE(O26:O28), O26), "")</f>
        <v/>
      </c>
      <c r="Q27" t="str">
        <f t="shared" si="0"/>
        <v/>
      </c>
      <c r="R27" t="str">
        <f t="shared" si="1"/>
        <v/>
      </c>
      <c r="S27" t="str">
        <f t="shared" si="2"/>
        <v/>
      </c>
      <c r="V27" t="str">
        <f ca="1">IFERROR(INDEX(Roll!$C:$C, MATCH(T27, Roll!$B:$B, 0)), "")</f>
        <v/>
      </c>
      <c r="W27" t="str">
        <f t="shared" ref="W27" ca="1" si="45">IF(V27&lt;&gt;"",IFERROR(MODE(V26:V28), V26), "")</f>
        <v/>
      </c>
      <c r="X27" t="str">
        <f t="shared" si="3"/>
        <v/>
      </c>
      <c r="Y27" t="str">
        <f t="shared" si="4"/>
        <v/>
      </c>
      <c r="Z27" t="str">
        <f t="shared" si="5"/>
        <v/>
      </c>
    </row>
    <row r="28" spans="15:26" x14ac:dyDescent="0.3">
      <c r="O28" t="str">
        <f ca="1">IFERROR(INDEX(Roll!$C:$C, MATCH(M28, Roll!$B:$B, 0)), "")</f>
        <v/>
      </c>
      <c r="P28" t="str">
        <f t="shared" ref="P28" ca="1" si="46">IF(O28&lt;&gt;"",IFERROR(MODE(O26:O28), O26), "")</f>
        <v/>
      </c>
      <c r="Q28" t="str">
        <f t="shared" si="0"/>
        <v/>
      </c>
      <c r="R28" t="str">
        <f t="shared" si="1"/>
        <v/>
      </c>
      <c r="S28" t="str">
        <f t="shared" si="2"/>
        <v/>
      </c>
      <c r="V28" t="str">
        <f ca="1">IFERROR(INDEX(Roll!$C:$C, MATCH(T28, Roll!$B:$B, 0)), "")</f>
        <v/>
      </c>
      <c r="W28" t="str">
        <f t="shared" ref="W28" ca="1" si="47">IF(V28&lt;&gt;"",IFERROR(MODE(V26:V28), V26), "")</f>
        <v/>
      </c>
      <c r="X28" t="str">
        <f t="shared" si="3"/>
        <v/>
      </c>
      <c r="Y28" t="str">
        <f t="shared" si="4"/>
        <v/>
      </c>
      <c r="Z28" t="str">
        <f t="shared" si="5"/>
        <v/>
      </c>
    </row>
    <row r="29" spans="15:26" x14ac:dyDescent="0.3">
      <c r="O29" t="str">
        <f ca="1">IFERROR(INDEX(Roll!$C:$C, MATCH(M29, Roll!$B:$B, 0)), "")</f>
        <v/>
      </c>
      <c r="P29" t="str">
        <f t="shared" ref="P29" ca="1" si="48">IF(O29&lt;&gt;"", IFERROR(MODE(O29:O31), O29), "")</f>
        <v/>
      </c>
      <c r="Q29" t="str">
        <f t="shared" si="0"/>
        <v/>
      </c>
      <c r="R29" t="str">
        <f t="shared" si="1"/>
        <v/>
      </c>
      <c r="S29" t="str">
        <f t="shared" si="2"/>
        <v/>
      </c>
      <c r="V29" t="str">
        <f ca="1">IFERROR(INDEX(Roll!$C:$C, MATCH(T29, Roll!$B:$B, 0)), "")</f>
        <v/>
      </c>
      <c r="W29" t="str">
        <f t="shared" ref="W29" ca="1" si="49">IF(V29&lt;&gt;"", IFERROR(MODE(V29:V31), V29), "")</f>
        <v/>
      </c>
      <c r="X29" t="str">
        <f t="shared" si="3"/>
        <v/>
      </c>
      <c r="Y29" t="str">
        <f t="shared" si="4"/>
        <v/>
      </c>
      <c r="Z29" t="str">
        <f t="shared" si="5"/>
        <v/>
      </c>
    </row>
    <row r="30" spans="15:26" x14ac:dyDescent="0.3">
      <c r="O30" t="str">
        <f ca="1">IFERROR(INDEX(Roll!$C:$C, MATCH(M30, Roll!$B:$B, 0)), "")</f>
        <v/>
      </c>
      <c r="P30" t="str">
        <f t="shared" ref="P30" ca="1" si="50">IF(O30&lt;&gt;"", IFERROR(MODE(O29:O31), O29), "")</f>
        <v/>
      </c>
      <c r="Q30" t="str">
        <f t="shared" si="0"/>
        <v/>
      </c>
      <c r="R30" t="str">
        <f t="shared" si="1"/>
        <v/>
      </c>
      <c r="S30" t="str">
        <f t="shared" si="2"/>
        <v/>
      </c>
      <c r="V30" t="str">
        <f ca="1">IFERROR(INDEX(Roll!$C:$C, MATCH(T30, Roll!$B:$B, 0)), "")</f>
        <v/>
      </c>
      <c r="W30" t="str">
        <f t="shared" ref="W30" ca="1" si="51">IF(V30&lt;&gt;"", IFERROR(MODE(V29:V31), V29), "")</f>
        <v/>
      </c>
      <c r="X30" t="str">
        <f t="shared" si="3"/>
        <v/>
      </c>
      <c r="Y30" t="str">
        <f t="shared" si="4"/>
        <v/>
      </c>
      <c r="Z30" t="str">
        <f t="shared" si="5"/>
        <v/>
      </c>
    </row>
    <row r="31" spans="15:26" x14ac:dyDescent="0.3">
      <c r="O31" t="str">
        <f ca="1">IFERROR(INDEX(Roll!$C:$C, MATCH(M31, Roll!$B:$B, 0)), "")</f>
        <v/>
      </c>
      <c r="P31" t="str">
        <f t="shared" ref="P31" ca="1" si="52">IF(O31&lt;&gt;"", IFERROR(MODE(O29:O31), O29), "")</f>
        <v/>
      </c>
      <c r="Q31" t="str">
        <f t="shared" si="0"/>
        <v/>
      </c>
      <c r="R31" t="str">
        <f t="shared" si="1"/>
        <v/>
      </c>
      <c r="S31" t="str">
        <f t="shared" si="2"/>
        <v/>
      </c>
      <c r="V31" t="str">
        <f ca="1">IFERROR(INDEX(Roll!$C:$C, MATCH(T31, Roll!$B:$B, 0)), "")</f>
        <v/>
      </c>
      <c r="W31" t="str">
        <f t="shared" ref="W31" ca="1" si="53">IF(V31&lt;&gt;"", IFERROR(MODE(V29:V31), V29), "")</f>
        <v/>
      </c>
      <c r="X31" t="str">
        <f t="shared" si="3"/>
        <v/>
      </c>
      <c r="Y31" t="str">
        <f t="shared" si="4"/>
        <v/>
      </c>
      <c r="Z31" t="str">
        <f t="shared" si="5"/>
        <v/>
      </c>
    </row>
    <row r="32" spans="15:26" x14ac:dyDescent="0.3">
      <c r="O32" t="str">
        <f ca="1">IFERROR(INDEX(Roll!$C:$C, MATCH(M32, Roll!$B:$B, 0)), "")</f>
        <v/>
      </c>
      <c r="P32" t="str">
        <f t="shared" ref="P32" ca="1" si="54">IF(O32&lt;&gt;"",IFERROR(MODE(O32:O34), O32), "")</f>
        <v/>
      </c>
      <c r="Q32" t="str">
        <f t="shared" si="0"/>
        <v/>
      </c>
      <c r="R32" t="str">
        <f t="shared" si="1"/>
        <v/>
      </c>
      <c r="S32" t="str">
        <f t="shared" si="2"/>
        <v/>
      </c>
      <c r="V32" t="str">
        <f ca="1">IFERROR(INDEX(Roll!$C:$C, MATCH(T32, Roll!$B:$B, 0)), "")</f>
        <v/>
      </c>
      <c r="W32" t="str">
        <f t="shared" ca="1" si="31"/>
        <v/>
      </c>
      <c r="X32" t="str">
        <f t="shared" si="3"/>
        <v/>
      </c>
      <c r="Y32" t="str">
        <f t="shared" si="4"/>
        <v/>
      </c>
      <c r="Z32" t="str">
        <f t="shared" si="5"/>
        <v/>
      </c>
    </row>
    <row r="33" spans="15:26" x14ac:dyDescent="0.3">
      <c r="O33" t="str">
        <f ca="1">IFERROR(INDEX(Roll!$C:$C, MATCH(M33, Roll!$B:$B, 0)), "")</f>
        <v/>
      </c>
      <c r="P33" t="str">
        <f t="shared" ref="P33" ca="1" si="55">IF(O33&lt;&gt;"",IFERROR(MODE(O32:O34), O32), "")</f>
        <v/>
      </c>
      <c r="Q33" t="str">
        <f t="shared" si="0"/>
        <v/>
      </c>
      <c r="R33" t="str">
        <f t="shared" si="1"/>
        <v/>
      </c>
      <c r="S33" t="str">
        <f t="shared" si="2"/>
        <v/>
      </c>
      <c r="V33" t="str">
        <f ca="1">IFERROR(INDEX(Roll!$C:$C, MATCH(T33, Roll!$B:$B, 0)), "")</f>
        <v/>
      </c>
      <c r="W33" t="str">
        <f t="shared" ca="1" si="33"/>
        <v/>
      </c>
      <c r="X33" t="str">
        <f t="shared" si="3"/>
        <v/>
      </c>
      <c r="Y33" t="str">
        <f t="shared" si="4"/>
        <v/>
      </c>
      <c r="Z33" t="str">
        <f t="shared" si="5"/>
        <v/>
      </c>
    </row>
    <row r="34" spans="15:26" x14ac:dyDescent="0.3">
      <c r="O34" t="str">
        <f ca="1">IFERROR(INDEX(Roll!$C:$C, MATCH(M34, Roll!$B:$B, 0)), "")</f>
        <v/>
      </c>
      <c r="P34" t="str">
        <f t="shared" ref="P34" ca="1" si="56">IF(O34&lt;&gt;"",IFERROR(MODE(O32:O34), O32), "")</f>
        <v/>
      </c>
      <c r="Q34" t="str">
        <f t="shared" si="0"/>
        <v/>
      </c>
      <c r="R34" t="str">
        <f t="shared" si="1"/>
        <v/>
      </c>
      <c r="S34" t="str">
        <f t="shared" si="2"/>
        <v/>
      </c>
      <c r="V34" t="str">
        <f ca="1">IFERROR(INDEX(Roll!$C:$C, MATCH(T34, Roll!$B:$B, 0)), "")</f>
        <v/>
      </c>
      <c r="W34" t="str">
        <f t="shared" ca="1" si="35"/>
        <v/>
      </c>
      <c r="X34" t="str">
        <f t="shared" si="3"/>
        <v/>
      </c>
      <c r="Y34" t="str">
        <f t="shared" si="4"/>
        <v/>
      </c>
      <c r="Z34" t="str">
        <f t="shared" si="5"/>
        <v/>
      </c>
    </row>
    <row r="35" spans="15:26" x14ac:dyDescent="0.3">
      <c r="O35" t="str">
        <f ca="1">IFERROR(INDEX(Roll!$C:$C, MATCH(M35, Roll!$B:$B, 0)), "")</f>
        <v/>
      </c>
      <c r="P35" t="str">
        <f t="shared" ref="P35" ca="1" si="57">IF(O35&lt;&gt;"", IFERROR(MODE(O35:O37), O35), "")</f>
        <v/>
      </c>
      <c r="Q35" t="str">
        <f t="shared" si="0"/>
        <v/>
      </c>
      <c r="R35" t="str">
        <f t="shared" si="1"/>
        <v/>
      </c>
      <c r="S35" t="str">
        <f t="shared" si="2"/>
        <v/>
      </c>
      <c r="V35" t="str">
        <f ca="1">IFERROR(INDEX(Roll!$C:$C, MATCH(T35, Roll!$B:$B, 0)), "")</f>
        <v/>
      </c>
      <c r="W35" t="str">
        <f t="shared" ca="1" si="37"/>
        <v/>
      </c>
      <c r="X35" t="str">
        <f t="shared" si="3"/>
        <v/>
      </c>
      <c r="Y35" t="str">
        <f t="shared" si="4"/>
        <v/>
      </c>
      <c r="Z35" t="str">
        <f t="shared" si="5"/>
        <v/>
      </c>
    </row>
    <row r="36" spans="15:26" x14ac:dyDescent="0.3">
      <c r="O36" t="str">
        <f ca="1">IFERROR(INDEX(Roll!$C:$C, MATCH(M36, Roll!$B:$B, 0)), "")</f>
        <v/>
      </c>
      <c r="P36" t="str">
        <f t="shared" ref="P36" ca="1" si="58">IF(O36&lt;&gt;"", IFERROR(MODE(O35:O37), O35), "")</f>
        <v/>
      </c>
      <c r="Q36" t="str">
        <f t="shared" si="0"/>
        <v/>
      </c>
      <c r="R36" t="str">
        <f t="shared" si="1"/>
        <v/>
      </c>
      <c r="S36" t="str">
        <f t="shared" si="2"/>
        <v/>
      </c>
      <c r="V36" t="str">
        <f ca="1">IFERROR(INDEX(Roll!$C:$C, MATCH(T36, Roll!$B:$B, 0)), "")</f>
        <v/>
      </c>
      <c r="W36" t="str">
        <f t="shared" ca="1" si="39"/>
        <v/>
      </c>
      <c r="X36" t="str">
        <f t="shared" si="3"/>
        <v/>
      </c>
      <c r="Y36" t="str">
        <f t="shared" si="4"/>
        <v/>
      </c>
      <c r="Z36" t="str">
        <f t="shared" si="5"/>
        <v/>
      </c>
    </row>
    <row r="37" spans="15:26" x14ac:dyDescent="0.3">
      <c r="O37" t="str">
        <f ca="1">IFERROR(INDEX(Roll!$C:$C, MATCH(M37, Roll!$B:$B, 0)), "")</f>
        <v/>
      </c>
      <c r="P37" t="str">
        <f t="shared" ref="P37" ca="1" si="59">IF(O37&lt;&gt;"", IFERROR(MODE(O35:O37), O35), "")</f>
        <v/>
      </c>
      <c r="Q37" t="str">
        <f t="shared" si="0"/>
        <v/>
      </c>
      <c r="R37" t="str">
        <f t="shared" si="1"/>
        <v/>
      </c>
      <c r="S37" t="str">
        <f t="shared" si="2"/>
        <v/>
      </c>
      <c r="V37" t="str">
        <f ca="1">IFERROR(INDEX(Roll!$C:$C, MATCH(T37, Roll!$B:$B, 0)), "")</f>
        <v/>
      </c>
      <c r="W37" t="str">
        <f t="shared" ca="1" si="41"/>
        <v/>
      </c>
      <c r="X37" t="str">
        <f t="shared" si="3"/>
        <v/>
      </c>
      <c r="Y37" t="str">
        <f t="shared" si="4"/>
        <v/>
      </c>
      <c r="Z37" t="str">
        <f t="shared" si="5"/>
        <v/>
      </c>
    </row>
    <row r="38" spans="15:26" x14ac:dyDescent="0.3">
      <c r="O38" t="str">
        <f ca="1">IFERROR(INDEX(Roll!$C:$C, MATCH(M38, Roll!$B:$B, 0)), "")</f>
        <v/>
      </c>
      <c r="P38" t="str">
        <f t="shared" ref="P38" ca="1" si="60">IF(O38&lt;&gt;"",IFERROR(MODE(O38:O40), O38), "")</f>
        <v/>
      </c>
      <c r="Q38" t="str">
        <f t="shared" si="0"/>
        <v/>
      </c>
      <c r="R38" t="str">
        <f t="shared" si="1"/>
        <v/>
      </c>
      <c r="S38" t="str">
        <f t="shared" si="2"/>
        <v/>
      </c>
      <c r="V38" t="str">
        <f ca="1">IFERROR(INDEX(Roll!$C:$C, MATCH(T38, Roll!$B:$B, 0)), "")</f>
        <v/>
      </c>
      <c r="W38" t="str">
        <f t="shared" ref="W38" ca="1" si="61">IF(V38&lt;&gt;"",IFERROR(MODE(V38:V40), V38), "")</f>
        <v/>
      </c>
      <c r="X38" t="str">
        <f t="shared" si="3"/>
        <v/>
      </c>
      <c r="Y38" t="str">
        <f t="shared" si="4"/>
        <v/>
      </c>
      <c r="Z38" t="str">
        <f t="shared" si="5"/>
        <v/>
      </c>
    </row>
    <row r="39" spans="15:26" x14ac:dyDescent="0.3">
      <c r="O39" t="str">
        <f ca="1">IFERROR(INDEX(Roll!$C:$C, MATCH(M39, Roll!$B:$B, 0)), "")</f>
        <v/>
      </c>
      <c r="P39" t="str">
        <f t="shared" ref="P39" ca="1" si="62">IF(O39&lt;&gt;"",IFERROR(MODE(O38:O40), O38), "")</f>
        <v/>
      </c>
      <c r="Q39" t="str">
        <f t="shared" si="0"/>
        <v/>
      </c>
      <c r="R39" t="str">
        <f t="shared" si="1"/>
        <v/>
      </c>
      <c r="S39" t="str">
        <f t="shared" si="2"/>
        <v/>
      </c>
      <c r="V39" t="str">
        <f ca="1">IFERROR(INDEX(Roll!$C:$C, MATCH(T39, Roll!$B:$B, 0)), "")</f>
        <v/>
      </c>
      <c r="W39" t="str">
        <f t="shared" ref="W39" ca="1" si="63">IF(V39&lt;&gt;"",IFERROR(MODE(V38:V40), V38), "")</f>
        <v/>
      </c>
      <c r="X39" t="str">
        <f t="shared" si="3"/>
        <v/>
      </c>
      <c r="Y39" t="str">
        <f t="shared" si="4"/>
        <v/>
      </c>
      <c r="Z39" t="str">
        <f t="shared" si="5"/>
        <v/>
      </c>
    </row>
    <row r="40" spans="15:26" x14ac:dyDescent="0.3">
      <c r="O40" t="str">
        <f ca="1">IFERROR(INDEX(Roll!$C:$C, MATCH(M40, Roll!$B:$B, 0)), "")</f>
        <v/>
      </c>
      <c r="P40" t="str">
        <f t="shared" ref="P40" ca="1" si="64">IF(O40&lt;&gt;"",IFERROR(MODE(O38:O40), O38), "")</f>
        <v/>
      </c>
      <c r="Q40" t="str">
        <f t="shared" si="0"/>
        <v/>
      </c>
      <c r="R40" t="str">
        <f t="shared" si="1"/>
        <v/>
      </c>
      <c r="S40" t="str">
        <f t="shared" si="2"/>
        <v/>
      </c>
      <c r="V40" t="str">
        <f ca="1">IFERROR(INDEX(Roll!$C:$C, MATCH(T40, Roll!$B:$B, 0)), "")</f>
        <v/>
      </c>
      <c r="W40" t="str">
        <f t="shared" ref="W40" ca="1" si="65">IF(V40&lt;&gt;"",IFERROR(MODE(V38:V40), V38), "")</f>
        <v/>
      </c>
      <c r="X40" t="str">
        <f t="shared" si="3"/>
        <v/>
      </c>
      <c r="Y40" t="str">
        <f t="shared" si="4"/>
        <v/>
      </c>
      <c r="Z40" t="str">
        <f t="shared" si="5"/>
        <v/>
      </c>
    </row>
    <row r="41" spans="15:26" x14ac:dyDescent="0.3">
      <c r="O41" t="str">
        <f ca="1">IFERROR(INDEX(Roll!$C:$C, MATCH(M41, Roll!$B:$B, 0)), "")</f>
        <v/>
      </c>
      <c r="P41" t="str">
        <f t="shared" ref="P41" ca="1" si="66">IF(O41&lt;&gt;"", IFERROR(MODE(O41:O43), O41), "")</f>
        <v/>
      </c>
      <c r="Q41" t="str">
        <f t="shared" si="0"/>
        <v/>
      </c>
      <c r="R41" t="str">
        <f t="shared" si="1"/>
        <v/>
      </c>
      <c r="S41" t="str">
        <f t="shared" si="2"/>
        <v/>
      </c>
      <c r="V41" t="str">
        <f ca="1">IFERROR(INDEX(Roll!$C:$C, MATCH(T41, Roll!$B:$B, 0)), "")</f>
        <v/>
      </c>
      <c r="W41" t="str">
        <f t="shared" ref="W41" ca="1" si="67">IF(V41&lt;&gt;"", IFERROR(MODE(V41:V43), V41), "")</f>
        <v/>
      </c>
      <c r="X41" t="str">
        <f t="shared" si="3"/>
        <v/>
      </c>
      <c r="Y41" t="str">
        <f t="shared" si="4"/>
        <v/>
      </c>
      <c r="Z41" t="str">
        <f t="shared" si="5"/>
        <v/>
      </c>
    </row>
    <row r="42" spans="15:26" x14ac:dyDescent="0.3">
      <c r="O42" t="str">
        <f ca="1">IFERROR(INDEX(Roll!$C:$C, MATCH(M42, Roll!$B:$B, 0)), "")</f>
        <v/>
      </c>
      <c r="P42" t="str">
        <f t="shared" ref="P42" ca="1" si="68">IF(O42&lt;&gt;"", IFERROR(MODE(O41:O43), O41), "")</f>
        <v/>
      </c>
      <c r="Q42" t="str">
        <f t="shared" si="0"/>
        <v/>
      </c>
      <c r="R42" t="str">
        <f t="shared" si="1"/>
        <v/>
      </c>
      <c r="S42" t="str">
        <f t="shared" si="2"/>
        <v/>
      </c>
      <c r="V42" t="str">
        <f ca="1">IFERROR(INDEX(Roll!$C:$C, MATCH(T42, Roll!$B:$B, 0)), "")</f>
        <v/>
      </c>
      <c r="W42" t="str">
        <f t="shared" ref="W42" ca="1" si="69">IF(V42&lt;&gt;"", IFERROR(MODE(V41:V43), V41), "")</f>
        <v/>
      </c>
      <c r="X42" t="str">
        <f t="shared" si="3"/>
        <v/>
      </c>
      <c r="Y42" t="str">
        <f t="shared" si="4"/>
        <v/>
      </c>
      <c r="Z42" t="str">
        <f t="shared" si="5"/>
        <v/>
      </c>
    </row>
    <row r="43" spans="15:26" x14ac:dyDescent="0.3">
      <c r="O43" t="str">
        <f ca="1">IFERROR(INDEX(Roll!$C:$C, MATCH(M43, Roll!$B:$B, 0)), "")</f>
        <v/>
      </c>
      <c r="P43" t="str">
        <f t="shared" ref="P43" ca="1" si="70">IF(O43&lt;&gt;"", IFERROR(MODE(O41:O43), O41), "")</f>
        <v/>
      </c>
      <c r="Q43" t="str">
        <f t="shared" si="0"/>
        <v/>
      </c>
      <c r="R43" t="str">
        <f t="shared" si="1"/>
        <v/>
      </c>
      <c r="S43" t="str">
        <f t="shared" si="2"/>
        <v/>
      </c>
      <c r="V43" t="str">
        <f ca="1">IFERROR(INDEX(Roll!$C:$C, MATCH(T43, Roll!$B:$B, 0)), "")</f>
        <v/>
      </c>
      <c r="W43" t="str">
        <f t="shared" ref="W43" ca="1" si="71">IF(V43&lt;&gt;"", IFERROR(MODE(V41:V43), V41), "")</f>
        <v/>
      </c>
      <c r="X43" t="str">
        <f t="shared" si="3"/>
        <v/>
      </c>
      <c r="Y43" t="str">
        <f t="shared" si="4"/>
        <v/>
      </c>
      <c r="Z43" t="str">
        <f t="shared" si="5"/>
        <v/>
      </c>
    </row>
    <row r="44" spans="15:26" x14ac:dyDescent="0.3">
      <c r="O44" t="str">
        <f ca="1">IFERROR(INDEX(Roll!$C:$C, MATCH(M44, Roll!$B:$B, 0)), "")</f>
        <v/>
      </c>
      <c r="P44" t="str">
        <f t="shared" ref="P44" ca="1" si="72">IF(O44&lt;&gt;"",IFERROR(MODE(O44:O46), O44), "")</f>
        <v/>
      </c>
      <c r="Q44" t="str">
        <f t="shared" si="0"/>
        <v/>
      </c>
      <c r="R44" t="str">
        <f t="shared" si="1"/>
        <v/>
      </c>
      <c r="S44" t="str">
        <f t="shared" si="2"/>
        <v/>
      </c>
      <c r="V44" t="str">
        <f ca="1">IFERROR(INDEX(Roll!$C:$C, MATCH(T44, Roll!$B:$B, 0)), "")</f>
        <v/>
      </c>
      <c r="W44" t="str">
        <f t="shared" ca="1" si="31"/>
        <v/>
      </c>
      <c r="X44" t="str">
        <f t="shared" si="3"/>
        <v/>
      </c>
      <c r="Y44" t="str">
        <f t="shared" si="4"/>
        <v/>
      </c>
      <c r="Z44" t="str">
        <f t="shared" si="5"/>
        <v/>
      </c>
    </row>
    <row r="45" spans="15:26" x14ac:dyDescent="0.3">
      <c r="O45" t="str">
        <f ca="1">IFERROR(INDEX(Roll!$C:$C, MATCH(M45, Roll!$B:$B, 0)), "")</f>
        <v/>
      </c>
      <c r="P45" t="str">
        <f t="shared" ref="P45" ca="1" si="73">IF(O45&lt;&gt;"",IFERROR(MODE(O44:O46), O44), "")</f>
        <v/>
      </c>
      <c r="Q45" t="str">
        <f t="shared" si="0"/>
        <v/>
      </c>
      <c r="R45" t="str">
        <f t="shared" si="1"/>
        <v/>
      </c>
      <c r="S45" t="str">
        <f t="shared" si="2"/>
        <v/>
      </c>
      <c r="V45" t="str">
        <f ca="1">IFERROR(INDEX(Roll!$C:$C, MATCH(T45, Roll!$B:$B, 0)), "")</f>
        <v/>
      </c>
      <c r="W45" t="str">
        <f t="shared" ca="1" si="33"/>
        <v/>
      </c>
      <c r="X45" t="str">
        <f t="shared" si="3"/>
        <v/>
      </c>
      <c r="Y45" t="str">
        <f t="shared" si="4"/>
        <v/>
      </c>
      <c r="Z45" t="str">
        <f t="shared" si="5"/>
        <v/>
      </c>
    </row>
    <row r="46" spans="15:26" x14ac:dyDescent="0.3">
      <c r="O46" t="str">
        <f ca="1">IFERROR(INDEX(Roll!$C:$C, MATCH(M46, Roll!$B:$B, 0)), "")</f>
        <v/>
      </c>
      <c r="P46" t="str">
        <f t="shared" ref="P46" ca="1" si="74">IF(O46&lt;&gt;"",IFERROR(MODE(O44:O46), O44), "")</f>
        <v/>
      </c>
      <c r="Q46" t="str">
        <f t="shared" si="0"/>
        <v/>
      </c>
      <c r="R46" t="str">
        <f t="shared" si="1"/>
        <v/>
      </c>
      <c r="S46" t="str">
        <f t="shared" si="2"/>
        <v/>
      </c>
      <c r="V46" t="str">
        <f ca="1">IFERROR(INDEX(Roll!$C:$C, MATCH(T46, Roll!$B:$B, 0)), "")</f>
        <v/>
      </c>
      <c r="W46" t="str">
        <f t="shared" ca="1" si="35"/>
        <v/>
      </c>
      <c r="X46" t="str">
        <f t="shared" si="3"/>
        <v/>
      </c>
      <c r="Y46" t="str">
        <f t="shared" si="4"/>
        <v/>
      </c>
      <c r="Z46" t="str">
        <f t="shared" si="5"/>
        <v/>
      </c>
    </row>
    <row r="47" spans="15:26" x14ac:dyDescent="0.3">
      <c r="O47" t="str">
        <f ca="1">IFERROR(INDEX(Roll!$C:$C, MATCH(M47, Roll!$B:$B, 0)), "")</f>
        <v/>
      </c>
      <c r="P47" t="str">
        <f t="shared" ref="P47" ca="1" si="75">IF(O47&lt;&gt;"", IFERROR(MODE(O47:O49), O47), "")</f>
        <v/>
      </c>
      <c r="Q47" t="str">
        <f t="shared" si="0"/>
        <v/>
      </c>
      <c r="R47" t="str">
        <f t="shared" si="1"/>
        <v/>
      </c>
      <c r="S47" t="str">
        <f t="shared" si="2"/>
        <v/>
      </c>
      <c r="V47" t="str">
        <f ca="1">IFERROR(INDEX(Roll!$C:$C, MATCH(T47, Roll!$B:$B, 0)), "")</f>
        <v/>
      </c>
      <c r="W47" t="str">
        <f t="shared" ca="1" si="37"/>
        <v/>
      </c>
      <c r="X47" t="str">
        <f t="shared" si="3"/>
        <v/>
      </c>
      <c r="Y47" t="str">
        <f t="shared" si="4"/>
        <v/>
      </c>
      <c r="Z47" t="str">
        <f t="shared" si="5"/>
        <v/>
      </c>
    </row>
    <row r="48" spans="15:26" x14ac:dyDescent="0.3">
      <c r="O48" t="str">
        <f ca="1">IFERROR(INDEX(Roll!$C:$C, MATCH(M48, Roll!$B:$B, 0)), "")</f>
        <v/>
      </c>
      <c r="P48" t="str">
        <f t="shared" ref="P48" ca="1" si="76">IF(O48&lt;&gt;"", IFERROR(MODE(O47:O49), O47), "")</f>
        <v/>
      </c>
      <c r="Q48" t="str">
        <f t="shared" si="0"/>
        <v/>
      </c>
      <c r="R48" t="str">
        <f t="shared" si="1"/>
        <v/>
      </c>
      <c r="S48" t="str">
        <f t="shared" si="2"/>
        <v/>
      </c>
      <c r="V48" t="str">
        <f ca="1">IFERROR(INDEX(Roll!$C:$C, MATCH(T48, Roll!$B:$B, 0)), "")</f>
        <v/>
      </c>
      <c r="W48" t="str">
        <f t="shared" ca="1" si="39"/>
        <v/>
      </c>
      <c r="X48" t="str">
        <f t="shared" si="3"/>
        <v/>
      </c>
      <c r="Y48" t="str">
        <f t="shared" si="4"/>
        <v/>
      </c>
      <c r="Z48" t="str">
        <f t="shared" si="5"/>
        <v/>
      </c>
    </row>
    <row r="49" spans="15:26" x14ac:dyDescent="0.3">
      <c r="O49" t="str">
        <f ca="1">IFERROR(INDEX(Roll!$C:$C, MATCH(M49, Roll!$B:$B, 0)), "")</f>
        <v/>
      </c>
      <c r="P49" t="str">
        <f t="shared" ref="P49" ca="1" si="77">IF(O49&lt;&gt;"", IFERROR(MODE(O47:O49), O47), "")</f>
        <v/>
      </c>
      <c r="Q49" t="str">
        <f t="shared" si="0"/>
        <v/>
      </c>
      <c r="R49" t="str">
        <f t="shared" si="1"/>
        <v/>
      </c>
      <c r="S49" t="str">
        <f t="shared" si="2"/>
        <v/>
      </c>
      <c r="V49" t="str">
        <f ca="1">IFERROR(INDEX(Roll!$C:$C, MATCH(T49, Roll!$B:$B, 0)), "")</f>
        <v/>
      </c>
      <c r="W49" t="str">
        <f t="shared" ca="1" si="41"/>
        <v/>
      </c>
      <c r="X49" t="str">
        <f t="shared" si="3"/>
        <v/>
      </c>
      <c r="Y49" t="str">
        <f t="shared" si="4"/>
        <v/>
      </c>
      <c r="Z49" t="str">
        <f t="shared" si="5"/>
        <v/>
      </c>
    </row>
    <row r="50" spans="15:26" x14ac:dyDescent="0.3">
      <c r="O50" t="str">
        <f ca="1">IFERROR(INDEX(Roll!$C:$C, MATCH(M50, Roll!$B:$B, 0)), "")</f>
        <v/>
      </c>
      <c r="P50" t="str">
        <f t="shared" ref="P50" ca="1" si="78">IF(O50&lt;&gt;"",IFERROR(MODE(O50:O52), O50), "")</f>
        <v/>
      </c>
      <c r="Q50" t="str">
        <f t="shared" si="0"/>
        <v/>
      </c>
      <c r="R50" t="str">
        <f t="shared" si="1"/>
        <v/>
      </c>
      <c r="S50" t="str">
        <f t="shared" si="2"/>
        <v/>
      </c>
      <c r="V50" t="str">
        <f ca="1">IFERROR(INDEX(Roll!$C:$C, MATCH(T50, Roll!$B:$B, 0)), "")</f>
        <v/>
      </c>
      <c r="W50" t="str">
        <f t="shared" ref="W50" ca="1" si="79">IF(V50&lt;&gt;"",IFERROR(MODE(V50:V52), V50), "")</f>
        <v/>
      </c>
      <c r="X50" t="str">
        <f t="shared" si="3"/>
        <v/>
      </c>
      <c r="Y50" t="str">
        <f t="shared" si="4"/>
        <v/>
      </c>
      <c r="Z50" t="str">
        <f t="shared" si="5"/>
        <v/>
      </c>
    </row>
    <row r="51" spans="15:26" x14ac:dyDescent="0.3">
      <c r="O51" t="str">
        <f ca="1">IFERROR(INDEX(Roll!$C:$C, MATCH(M51, Roll!$B:$B, 0)), "")</f>
        <v/>
      </c>
      <c r="P51" t="str">
        <f t="shared" ref="P51" ca="1" si="80">IF(O51&lt;&gt;"",IFERROR(MODE(O50:O52), O50), "")</f>
        <v/>
      </c>
      <c r="Q51" t="str">
        <f t="shared" si="0"/>
        <v/>
      </c>
      <c r="R51" t="str">
        <f t="shared" si="1"/>
        <v/>
      </c>
      <c r="S51" t="str">
        <f t="shared" si="2"/>
        <v/>
      </c>
      <c r="V51" t="str">
        <f ca="1">IFERROR(INDEX(Roll!$C:$C, MATCH(T51, Roll!$B:$B, 0)), "")</f>
        <v/>
      </c>
      <c r="W51" t="str">
        <f t="shared" ref="W51" ca="1" si="81">IF(V51&lt;&gt;"",IFERROR(MODE(V50:V52), V50), "")</f>
        <v/>
      </c>
      <c r="X51" t="str">
        <f t="shared" si="3"/>
        <v/>
      </c>
      <c r="Y51" t="str">
        <f t="shared" si="4"/>
        <v/>
      </c>
      <c r="Z51" t="str">
        <f t="shared" si="5"/>
        <v/>
      </c>
    </row>
    <row r="52" spans="15:26" x14ac:dyDescent="0.3">
      <c r="O52" t="str">
        <f ca="1">IFERROR(INDEX(Roll!$C:$C, MATCH(M52, Roll!$B:$B, 0)), "")</f>
        <v/>
      </c>
      <c r="P52" t="str">
        <f t="shared" ref="P52" ca="1" si="82">IF(O52&lt;&gt;"",IFERROR(MODE(O50:O52), O50), "")</f>
        <v/>
      </c>
      <c r="Q52" t="str">
        <f t="shared" si="0"/>
        <v/>
      </c>
      <c r="R52" t="str">
        <f t="shared" si="1"/>
        <v/>
      </c>
      <c r="S52" t="str">
        <f t="shared" si="2"/>
        <v/>
      </c>
      <c r="V52" t="str">
        <f ca="1">IFERROR(INDEX(Roll!$C:$C, MATCH(T52, Roll!$B:$B, 0)), "")</f>
        <v/>
      </c>
      <c r="W52" t="str">
        <f t="shared" ref="W52" ca="1" si="83">IF(V52&lt;&gt;"",IFERROR(MODE(V50:V52), V50), "")</f>
        <v/>
      </c>
      <c r="X52" t="str">
        <f t="shared" si="3"/>
        <v/>
      </c>
      <c r="Y52" t="str">
        <f t="shared" si="4"/>
        <v/>
      </c>
      <c r="Z52" t="str">
        <f t="shared" si="5"/>
        <v/>
      </c>
    </row>
    <row r="53" spans="15:26" x14ac:dyDescent="0.3">
      <c r="O53" t="str">
        <f ca="1">IFERROR(INDEX(Roll!$C:$C, MATCH(M53, Roll!$B:$B, 0)), "")</f>
        <v/>
      </c>
      <c r="P53" t="str">
        <f t="shared" ref="P53" ca="1" si="84">IF(O53&lt;&gt;"", IFERROR(MODE(O53:O55), O53), "")</f>
        <v/>
      </c>
      <c r="Q53" t="str">
        <f t="shared" si="0"/>
        <v/>
      </c>
      <c r="R53" t="str">
        <f t="shared" si="1"/>
        <v/>
      </c>
      <c r="S53" t="str">
        <f t="shared" si="2"/>
        <v/>
      </c>
      <c r="V53" t="str">
        <f ca="1">IFERROR(INDEX(Roll!$C:$C, MATCH(T53, Roll!$B:$B, 0)), "")</f>
        <v/>
      </c>
      <c r="W53" t="str">
        <f t="shared" ref="W53" ca="1" si="85">IF(V53&lt;&gt;"", IFERROR(MODE(V53:V55), V53), "")</f>
        <v/>
      </c>
      <c r="X53" t="str">
        <f t="shared" si="3"/>
        <v/>
      </c>
      <c r="Y53" t="str">
        <f t="shared" si="4"/>
        <v/>
      </c>
      <c r="Z53" t="str">
        <f t="shared" si="5"/>
        <v/>
      </c>
    </row>
    <row r="54" spans="15:26" x14ac:dyDescent="0.3">
      <c r="O54" t="str">
        <f ca="1">IFERROR(INDEX(Roll!$C:$C, MATCH(M54, Roll!$B:$B, 0)), "")</f>
        <v/>
      </c>
      <c r="P54" t="str">
        <f t="shared" ref="P54" ca="1" si="86">IF(O54&lt;&gt;"", IFERROR(MODE(O53:O55), O53), "")</f>
        <v/>
      </c>
      <c r="Q54" t="str">
        <f t="shared" si="0"/>
        <v/>
      </c>
      <c r="R54" t="str">
        <f t="shared" si="1"/>
        <v/>
      </c>
      <c r="S54" t="str">
        <f t="shared" si="2"/>
        <v/>
      </c>
      <c r="V54" t="str">
        <f ca="1">IFERROR(INDEX(Roll!$C:$C, MATCH(T54, Roll!$B:$B, 0)), "")</f>
        <v/>
      </c>
      <c r="W54" t="str">
        <f t="shared" ref="W54" ca="1" si="87">IF(V54&lt;&gt;"", IFERROR(MODE(V53:V55), V53), "")</f>
        <v/>
      </c>
      <c r="X54" t="str">
        <f t="shared" si="3"/>
        <v/>
      </c>
      <c r="Y54" t="str">
        <f t="shared" si="4"/>
        <v/>
      </c>
      <c r="Z54" t="str">
        <f t="shared" si="5"/>
        <v/>
      </c>
    </row>
    <row r="55" spans="15:26" x14ac:dyDescent="0.3">
      <c r="O55" t="str">
        <f ca="1">IFERROR(INDEX(Roll!$C:$C, MATCH(M55, Roll!$B:$B, 0)), "")</f>
        <v/>
      </c>
      <c r="P55" t="str">
        <f t="shared" ref="P55" ca="1" si="88">IF(O55&lt;&gt;"", IFERROR(MODE(O53:O55), O53), "")</f>
        <v/>
      </c>
      <c r="Q55" t="str">
        <f t="shared" si="0"/>
        <v/>
      </c>
      <c r="R55" t="str">
        <f t="shared" si="1"/>
        <v/>
      </c>
      <c r="S55" t="str">
        <f t="shared" si="2"/>
        <v/>
      </c>
      <c r="V55" t="str">
        <f ca="1">IFERROR(INDEX(Roll!$C:$C, MATCH(T55, Roll!$B:$B, 0)), "")</f>
        <v/>
      </c>
      <c r="W55" t="str">
        <f t="shared" ref="W55" ca="1" si="89">IF(V55&lt;&gt;"", IFERROR(MODE(V53:V55), V53), "")</f>
        <v/>
      </c>
      <c r="X55" t="str">
        <f t="shared" si="3"/>
        <v/>
      </c>
      <c r="Y55" t="str">
        <f t="shared" si="4"/>
        <v/>
      </c>
      <c r="Z55" t="str">
        <f t="shared" si="5"/>
        <v/>
      </c>
    </row>
    <row r="56" spans="15:26" x14ac:dyDescent="0.3">
      <c r="O56" t="str">
        <f ca="1">IFERROR(INDEX(Roll!$C:$C, MATCH(M56, Roll!$B:$B, 0)), "")</f>
        <v/>
      </c>
      <c r="P56" t="str">
        <f t="shared" ref="P56" ca="1" si="90">IF(O56&lt;&gt;"",IFERROR(MODE(O56:O58), O56), "")</f>
        <v/>
      </c>
      <c r="Q56" t="str">
        <f t="shared" si="0"/>
        <v/>
      </c>
      <c r="R56" t="str">
        <f t="shared" si="1"/>
        <v/>
      </c>
      <c r="S56" t="str">
        <f t="shared" si="2"/>
        <v/>
      </c>
      <c r="V56" t="str">
        <f ca="1">IFERROR(INDEX(Roll!$C:$C, MATCH(T56, Roll!$B:$B, 0)), "")</f>
        <v/>
      </c>
      <c r="W56" t="str">
        <f t="shared" ca="1" si="31"/>
        <v/>
      </c>
      <c r="X56" t="str">
        <f t="shared" si="3"/>
        <v/>
      </c>
      <c r="Y56" t="str">
        <f t="shared" si="4"/>
        <v/>
      </c>
      <c r="Z56" t="str">
        <f t="shared" si="5"/>
        <v/>
      </c>
    </row>
    <row r="57" spans="15:26" x14ac:dyDescent="0.3">
      <c r="O57" t="str">
        <f ca="1">IFERROR(INDEX(Roll!$C:$C, MATCH(M57, Roll!$B:$B, 0)), "")</f>
        <v/>
      </c>
      <c r="P57" t="str">
        <f t="shared" ref="P57" ca="1" si="91">IF(O57&lt;&gt;"",IFERROR(MODE(O56:O58), O56), "")</f>
        <v/>
      </c>
      <c r="Q57" t="str">
        <f t="shared" si="0"/>
        <v/>
      </c>
      <c r="R57" t="str">
        <f t="shared" si="1"/>
        <v/>
      </c>
      <c r="S57" t="str">
        <f t="shared" si="2"/>
        <v/>
      </c>
      <c r="V57" t="str">
        <f ca="1">IFERROR(INDEX(Roll!$C:$C, MATCH(T57, Roll!$B:$B, 0)), "")</f>
        <v/>
      </c>
      <c r="W57" t="str">
        <f t="shared" ca="1" si="33"/>
        <v/>
      </c>
      <c r="X57" t="str">
        <f t="shared" si="3"/>
        <v/>
      </c>
      <c r="Y57" t="str">
        <f t="shared" si="4"/>
        <v/>
      </c>
      <c r="Z57" t="str">
        <f t="shared" si="5"/>
        <v/>
      </c>
    </row>
    <row r="58" spans="15:26" x14ac:dyDescent="0.3">
      <c r="O58" t="str">
        <f ca="1">IFERROR(INDEX(Roll!$C:$C, MATCH(M58, Roll!$B:$B, 0)), "")</f>
        <v/>
      </c>
      <c r="P58" t="str">
        <f t="shared" ref="P58" ca="1" si="92">IF(O58&lt;&gt;"",IFERROR(MODE(O56:O58), O56), "")</f>
        <v/>
      </c>
      <c r="Q58" t="str">
        <f t="shared" si="0"/>
        <v/>
      </c>
      <c r="R58" t="str">
        <f t="shared" si="1"/>
        <v/>
      </c>
      <c r="S58" t="str">
        <f t="shared" si="2"/>
        <v/>
      </c>
      <c r="V58" t="str">
        <f ca="1">IFERROR(INDEX(Roll!$C:$C, MATCH(T58, Roll!$B:$B, 0)), "")</f>
        <v/>
      </c>
      <c r="W58" t="str">
        <f t="shared" ca="1" si="35"/>
        <v/>
      </c>
      <c r="X58" t="str">
        <f t="shared" si="3"/>
        <v/>
      </c>
      <c r="Y58" t="str">
        <f t="shared" si="4"/>
        <v/>
      </c>
      <c r="Z58" t="str">
        <f t="shared" si="5"/>
        <v/>
      </c>
    </row>
    <row r="59" spans="15:26" x14ac:dyDescent="0.3">
      <c r="O59" t="str">
        <f ca="1">IFERROR(INDEX(Roll!$C:$C, MATCH(M59, Roll!$B:$B, 0)), "")</f>
        <v/>
      </c>
      <c r="P59" t="str">
        <f t="shared" ref="P59" ca="1" si="93">IF(O59&lt;&gt;"", IFERROR(MODE(O59:O61), O59), "")</f>
        <v/>
      </c>
      <c r="Q59" t="str">
        <f t="shared" si="0"/>
        <v/>
      </c>
      <c r="R59" t="str">
        <f t="shared" si="1"/>
        <v/>
      </c>
      <c r="S59" t="str">
        <f t="shared" si="2"/>
        <v/>
      </c>
      <c r="V59" t="str">
        <f ca="1">IFERROR(INDEX(Roll!$C:$C, MATCH(T59, Roll!$B:$B, 0)), "")</f>
        <v/>
      </c>
      <c r="W59" t="str">
        <f t="shared" ca="1" si="37"/>
        <v/>
      </c>
      <c r="X59" t="str">
        <f t="shared" si="3"/>
        <v/>
      </c>
      <c r="Y59" t="str">
        <f t="shared" si="4"/>
        <v/>
      </c>
      <c r="Z59" t="str">
        <f t="shared" si="5"/>
        <v/>
      </c>
    </row>
    <row r="60" spans="15:26" x14ac:dyDescent="0.3">
      <c r="O60" t="str">
        <f ca="1">IFERROR(INDEX(Roll!$C:$C, MATCH(M60, Roll!$B:$B, 0)), "")</f>
        <v/>
      </c>
      <c r="P60" t="str">
        <f t="shared" ref="P60" ca="1" si="94">IF(O60&lt;&gt;"", IFERROR(MODE(O59:O61), O59), "")</f>
        <v/>
      </c>
      <c r="Q60" t="str">
        <f t="shared" si="0"/>
        <v/>
      </c>
      <c r="R60" t="str">
        <f t="shared" si="1"/>
        <v/>
      </c>
      <c r="S60" t="str">
        <f t="shared" si="2"/>
        <v/>
      </c>
      <c r="V60" t="str">
        <f ca="1">IFERROR(INDEX(Roll!$C:$C, MATCH(T60, Roll!$B:$B, 0)), "")</f>
        <v/>
      </c>
      <c r="W60" t="str">
        <f t="shared" ca="1" si="39"/>
        <v/>
      </c>
      <c r="X60" t="str">
        <f t="shared" si="3"/>
        <v/>
      </c>
      <c r="Y60" t="str">
        <f t="shared" si="4"/>
        <v/>
      </c>
      <c r="Z60" t="str">
        <f t="shared" si="5"/>
        <v/>
      </c>
    </row>
    <row r="61" spans="15:26" x14ac:dyDescent="0.3">
      <c r="O61" t="str">
        <f ca="1">IFERROR(INDEX(Roll!$C:$C, MATCH(M61, Roll!$B:$B, 0)), "")</f>
        <v/>
      </c>
      <c r="V61" t="str">
        <f ca="1">IFERROR(INDEX(Roll!$C:$C, MATCH(T61, Roll!$B:$B, 0)), "")</f>
        <v/>
      </c>
    </row>
    <row r="62" spans="15:26" x14ac:dyDescent="0.3">
      <c r="O62" t="str">
        <f ca="1">IFERROR(INDEX(Roll!$C:$C, MATCH(M62, Roll!$B:$B, 0)), "")</f>
        <v/>
      </c>
      <c r="V62" t="str">
        <f ca="1">IFERROR(INDEX(Roll!$C:$C, MATCH(T62, Roll!$B:$B, 0)), "")</f>
        <v/>
      </c>
    </row>
    <row r="63" spans="15:26" x14ac:dyDescent="0.3">
      <c r="O63" t="str">
        <f ca="1">IFERROR(INDEX(Roll!$C:$C, MATCH(M63, Roll!$B:$B, 0)), "")</f>
        <v/>
      </c>
      <c r="V63" t="str">
        <f ca="1">IFERROR(INDEX(Roll!$C:$C, MATCH(T63, Roll!$B:$B, 0)), "")</f>
        <v/>
      </c>
    </row>
    <row r="64" spans="15:26" x14ac:dyDescent="0.3">
      <c r="O64" t="str">
        <f ca="1">IFERROR(INDEX(Roll!$C:$C, MATCH(M64, Roll!$B:$B, 0)), "")</f>
        <v/>
      </c>
      <c r="V64" t="str">
        <f ca="1">IFERROR(INDEX(Roll!$C:$C, MATCH(T64, Roll!$B:$B, 0)), "")</f>
        <v/>
      </c>
    </row>
    <row r="65" spans="15:22" x14ac:dyDescent="0.3">
      <c r="O65" t="str">
        <f ca="1">IFERROR(INDEX(Roll!$C:$C, MATCH(M65, Roll!$B:$B, 0)), "")</f>
        <v/>
      </c>
      <c r="V65" t="str">
        <f ca="1">IFERROR(INDEX(Roll!$C:$C, MATCH(T65, Roll!$B:$B, 0)), "")</f>
        <v/>
      </c>
    </row>
    <row r="66" spans="15:22" x14ac:dyDescent="0.3">
      <c r="O66" t="str">
        <f ca="1">IFERROR(INDEX(Roll!$C:$C, MATCH(M66, Roll!$B:$B, 0)), "")</f>
        <v/>
      </c>
      <c r="V66" t="str">
        <f ca="1">IFERROR(INDEX(Roll!$C:$C, MATCH(T66, Roll!$B:$B, 0)), "")</f>
        <v/>
      </c>
    </row>
    <row r="67" spans="15:22" x14ac:dyDescent="0.3">
      <c r="O67" t="str">
        <f ca="1">IFERROR(INDEX(Roll!$C:$C, MATCH(M67, Roll!$B:$B, 0)), "")</f>
        <v/>
      </c>
      <c r="V67" t="str">
        <f ca="1">IFERROR(INDEX(Roll!$C:$C, MATCH(T67, Roll!$B:$B, 0)), "")</f>
        <v/>
      </c>
    </row>
    <row r="68" spans="15:22" x14ac:dyDescent="0.3">
      <c r="O68" t="str">
        <f ca="1">IFERROR(INDEX(Roll!$C:$C, MATCH(M68, Roll!$B:$B, 0)), "")</f>
        <v/>
      </c>
      <c r="V68" t="str">
        <f ca="1">IFERROR(INDEX(Roll!$C:$C, MATCH(T68, Roll!$B:$B, 0)), "")</f>
        <v/>
      </c>
    </row>
    <row r="69" spans="15:22" x14ac:dyDescent="0.3">
      <c r="O69" t="str">
        <f ca="1">IFERROR(INDEX(Roll!$C:$C, MATCH(M69, Roll!$B:$B, 0)), "")</f>
        <v/>
      </c>
      <c r="V69" t="str">
        <f ca="1">IFERROR(INDEX(Roll!$C:$C, MATCH(T69, Roll!$B:$B, 0)), "")</f>
        <v/>
      </c>
    </row>
    <row r="70" spans="15:22" x14ac:dyDescent="0.3">
      <c r="O70" t="str">
        <f ca="1">IFERROR(INDEX(Roll!$C:$C, MATCH(M70, Roll!$B:$B, 0)), "")</f>
        <v/>
      </c>
      <c r="V70" t="str">
        <f ca="1">IFERROR(INDEX(Roll!$C:$C, MATCH(T70, Roll!$B:$B, 0)), "")</f>
        <v/>
      </c>
    </row>
    <row r="71" spans="15:22" x14ac:dyDescent="0.3">
      <c r="O71" t="str">
        <f ca="1">IFERROR(INDEX(Roll!$C:$C, MATCH(M71, Roll!$B:$B, 0)), "")</f>
        <v/>
      </c>
      <c r="V71" t="str">
        <f ca="1">IFERROR(INDEX(Roll!$C:$C, MATCH(T71, Roll!$B:$B, 0)), "")</f>
        <v/>
      </c>
    </row>
    <row r="72" spans="15:22" x14ac:dyDescent="0.3">
      <c r="O72" t="str">
        <f ca="1">IFERROR(INDEX(Roll!$C:$C, MATCH(M72, Roll!$B:$B, 0)), "")</f>
        <v/>
      </c>
      <c r="V72" t="str">
        <f ca="1">IFERROR(INDEX(Roll!$C:$C, MATCH(T72, Roll!$B:$B, 0)), "")</f>
        <v/>
      </c>
    </row>
    <row r="73" spans="15:22" x14ac:dyDescent="0.3">
      <c r="O73" t="str">
        <f ca="1">IFERROR(INDEX(Roll!$C:$C, MATCH(M73, Roll!$B:$B, 0)), "")</f>
        <v/>
      </c>
      <c r="V73" t="str">
        <f ca="1">IFERROR(INDEX(Roll!$C:$C, MATCH(T73, Roll!$B:$B, 0)), "")</f>
        <v/>
      </c>
    </row>
    <row r="74" spans="15:22" x14ac:dyDescent="0.3">
      <c r="O74" t="str">
        <f ca="1">IFERROR(INDEX(Roll!$C:$C, MATCH(M74, Roll!$B:$B, 0)), "")</f>
        <v/>
      </c>
      <c r="V74" t="str">
        <f ca="1">IFERROR(INDEX(Roll!$C:$C, MATCH(T74, Roll!$B:$B, 0)), "")</f>
        <v/>
      </c>
    </row>
    <row r="75" spans="15:22" x14ac:dyDescent="0.3">
      <c r="O75" t="str">
        <f ca="1">IFERROR(INDEX(Roll!$C:$C, MATCH(M75, Roll!$B:$B, 0)), "")</f>
        <v/>
      </c>
      <c r="V75" t="str">
        <f ca="1">IFERROR(INDEX(Roll!$C:$C, MATCH(T75, Roll!$B:$B, 0)), "")</f>
        <v/>
      </c>
    </row>
    <row r="76" spans="15:22" x14ac:dyDescent="0.3">
      <c r="O76" t="str">
        <f ca="1">IFERROR(INDEX(Roll!$C:$C, MATCH(M76, Roll!$B:$B, 0)), "")</f>
        <v/>
      </c>
      <c r="V76" t="str">
        <f ca="1">IFERROR(INDEX(Roll!$C:$C, MATCH(T76, Roll!$B:$B, 0)), "")</f>
        <v/>
      </c>
    </row>
    <row r="77" spans="15:22" x14ac:dyDescent="0.3">
      <c r="O77" t="str">
        <f ca="1">IFERROR(INDEX(Roll!$C:$C, MATCH(M77, Roll!$B:$B, 0)), "")</f>
        <v/>
      </c>
      <c r="V77" t="str">
        <f ca="1">IFERROR(INDEX(Roll!$C:$C, MATCH(T77, Roll!$B:$B, 0)), "")</f>
        <v/>
      </c>
    </row>
    <row r="78" spans="15:22" x14ac:dyDescent="0.3">
      <c r="O78" t="str">
        <f ca="1">IFERROR(INDEX(Roll!$C:$C, MATCH(M78, Roll!$B:$B, 0)), "")</f>
        <v/>
      </c>
      <c r="V78" t="str">
        <f ca="1">IFERROR(INDEX(Roll!$C:$C, MATCH(T78, Roll!$B:$B, 0)), "")</f>
        <v/>
      </c>
    </row>
    <row r="79" spans="15:22" x14ac:dyDescent="0.3">
      <c r="O79" t="str">
        <f ca="1">IFERROR(INDEX(Roll!$C:$C, MATCH(M79, Roll!$B:$B, 0)), "")</f>
        <v/>
      </c>
      <c r="V79" t="str">
        <f ca="1">IFERROR(INDEX(Roll!$C:$C, MATCH(T79, Roll!$B:$B, 0)), "")</f>
        <v/>
      </c>
    </row>
    <row r="80" spans="15:22" x14ac:dyDescent="0.3">
      <c r="O80" t="str">
        <f ca="1">IFERROR(INDEX(Roll!$C:$C, MATCH(M80, Roll!$B:$B, 0)), "")</f>
        <v/>
      </c>
      <c r="V80" t="str">
        <f ca="1">IFERROR(INDEX(Roll!$C:$C, MATCH(T80, Roll!$B:$B, 0)), "")</f>
        <v/>
      </c>
    </row>
    <row r="81" spans="15:22" x14ac:dyDescent="0.3">
      <c r="O81" t="str">
        <f ca="1">IFERROR(INDEX(Roll!$C:$C, MATCH(M81, Roll!$B:$B, 0)), "")</f>
        <v/>
      </c>
      <c r="V81" t="str">
        <f ca="1">IFERROR(INDEX(Roll!$C:$C, MATCH(T81, Roll!$B:$B, 0)), "")</f>
        <v/>
      </c>
    </row>
    <row r="82" spans="15:22" x14ac:dyDescent="0.3">
      <c r="O82" t="str">
        <f ca="1">IFERROR(INDEX(Roll!$C:$C, MATCH(M82, Roll!$B:$B, 0)), "")</f>
        <v/>
      </c>
      <c r="V82" t="str">
        <f ca="1">IFERROR(INDEX(Roll!$C:$C, MATCH(T82, Roll!$B:$B, 0)), "")</f>
        <v/>
      </c>
    </row>
    <row r="83" spans="15:22" x14ac:dyDescent="0.3">
      <c r="O83" t="str">
        <f ca="1">IFERROR(INDEX(Roll!$C:$C, MATCH(M83, Roll!$B:$B, 0)), "")</f>
        <v/>
      </c>
      <c r="V83" t="str">
        <f ca="1">IFERROR(INDEX(Roll!$C:$C, MATCH(T83, Roll!$B:$B, 0)), "")</f>
        <v/>
      </c>
    </row>
    <row r="84" spans="15:22" x14ac:dyDescent="0.3">
      <c r="O84" t="str">
        <f ca="1">IFERROR(INDEX(Roll!$C:$C, MATCH(M84, Roll!$B:$B, 0)), "")</f>
        <v/>
      </c>
      <c r="V84" t="str">
        <f ca="1">IFERROR(INDEX(Roll!$C:$C, MATCH(T84, Roll!$B:$B, 0)), "")</f>
        <v/>
      </c>
    </row>
    <row r="85" spans="15:22" x14ac:dyDescent="0.3">
      <c r="O85" t="str">
        <f ca="1">IFERROR(INDEX(Roll!$C:$C, MATCH(M85, Roll!$B:$B, 0)), "")</f>
        <v/>
      </c>
      <c r="V85" t="str">
        <f ca="1">IFERROR(INDEX(Roll!$C:$C, MATCH(T85, Roll!$B:$B, 0)), "")</f>
        <v/>
      </c>
    </row>
    <row r="86" spans="15:22" x14ac:dyDescent="0.3">
      <c r="O86" t="str">
        <f ca="1">IFERROR(INDEX(Roll!$C:$C, MATCH(M86, Roll!$B:$B, 0)), "")</f>
        <v/>
      </c>
      <c r="V86" t="str">
        <f ca="1">IFERROR(INDEX(Roll!$C:$C, MATCH(T86, Roll!$B:$B, 0)), "")</f>
        <v/>
      </c>
    </row>
    <row r="87" spans="15:22" x14ac:dyDescent="0.3">
      <c r="O87" t="str">
        <f ca="1">IFERROR(INDEX(Roll!$C:$C, MATCH(M87, Roll!$B:$B, 0)), "")</f>
        <v/>
      </c>
      <c r="V87" t="str">
        <f ca="1">IFERROR(INDEX(Roll!$C:$C, MATCH(T87, Roll!$B:$B, 0)), "")</f>
        <v/>
      </c>
    </row>
    <row r="88" spans="15:22" x14ac:dyDescent="0.3">
      <c r="O88" t="str">
        <f ca="1">IFERROR(INDEX(Roll!$C:$C, MATCH(M88, Roll!$B:$B, 0)), "")</f>
        <v/>
      </c>
      <c r="V88" t="str">
        <f ca="1">IFERROR(INDEX(Roll!$C:$C, MATCH(T88, Roll!$B:$B, 0)), "")</f>
        <v/>
      </c>
    </row>
    <row r="89" spans="15:22" x14ac:dyDescent="0.3">
      <c r="O89" t="str">
        <f ca="1">IFERROR(INDEX(Roll!$C:$C, MATCH(M89, Roll!$B:$B, 0)), "")</f>
        <v/>
      </c>
      <c r="V89" t="str">
        <f ca="1">IFERROR(INDEX(Roll!$C:$C, MATCH(T89, Roll!$B:$B, 0)), "")</f>
        <v/>
      </c>
    </row>
    <row r="90" spans="15:22" x14ac:dyDescent="0.3">
      <c r="O90" t="str">
        <f ca="1">IFERROR(INDEX(Roll!$C:$C, MATCH(M90, Roll!$B:$B, 0)), "")</f>
        <v/>
      </c>
      <c r="V90" t="str">
        <f ca="1">IFERROR(INDEX(Roll!$C:$C, MATCH(T90, Roll!$B:$B, 0)), "")</f>
        <v/>
      </c>
    </row>
    <row r="91" spans="15:22" x14ac:dyDescent="0.3">
      <c r="O91" t="str">
        <f ca="1">IFERROR(INDEX(Roll!$C:$C, MATCH(M91, Roll!$B:$B, 0)), "")</f>
        <v/>
      </c>
      <c r="V91" t="str">
        <f ca="1">IFERROR(INDEX(Roll!$C:$C, MATCH(T91, Roll!$B:$B, 0)), "")</f>
        <v/>
      </c>
    </row>
    <row r="92" spans="15:22" x14ac:dyDescent="0.3">
      <c r="O92" t="str">
        <f ca="1">IFERROR(INDEX(Roll!$C:$C, MATCH(M92, Roll!$B:$B, 0)), "")</f>
        <v/>
      </c>
      <c r="V92" t="str">
        <f ca="1">IFERROR(INDEX(Roll!$C:$C, MATCH(T92, Roll!$B:$B, 0)), "")</f>
        <v/>
      </c>
    </row>
    <row r="93" spans="15:22" x14ac:dyDescent="0.3">
      <c r="O93" t="str">
        <f ca="1">IFERROR(INDEX(Roll!$C:$C, MATCH(M93, Roll!$B:$B, 0)), "")</f>
        <v/>
      </c>
      <c r="V93" t="str">
        <f ca="1">IFERROR(INDEX(Roll!$C:$C, MATCH(T93, Roll!$B:$B, 0)), "")</f>
        <v/>
      </c>
    </row>
    <row r="94" spans="15:22" x14ac:dyDescent="0.3">
      <c r="O94" t="str">
        <f ca="1">IFERROR(INDEX(Roll!$C:$C, MATCH(M94, Roll!$B:$B, 0)), "")</f>
        <v/>
      </c>
      <c r="V94" t="str">
        <f ca="1">IFERROR(INDEX(Roll!$C:$C, MATCH(T94, Roll!$B:$B, 0)), "")</f>
        <v/>
      </c>
    </row>
    <row r="95" spans="15:22" x14ac:dyDescent="0.3">
      <c r="O95" t="str">
        <f ca="1">IFERROR(INDEX(Roll!$C:$C, MATCH(M95, Roll!$B:$B, 0)), "")</f>
        <v/>
      </c>
      <c r="V95" t="str">
        <f ca="1">IFERROR(INDEX(Roll!$C:$C, MATCH(T95, Roll!$B:$B, 0)), "")</f>
        <v/>
      </c>
    </row>
    <row r="96" spans="15:22" x14ac:dyDescent="0.3">
      <c r="O96" t="str">
        <f ca="1">IFERROR(INDEX(Roll!$C:$C, MATCH(M96, Roll!$B:$B, 0)), "")</f>
        <v/>
      </c>
      <c r="V96" t="str">
        <f ca="1">IFERROR(INDEX(Roll!$C:$C, MATCH(T96, Roll!$B:$B, 0)), "")</f>
        <v/>
      </c>
    </row>
    <row r="97" spans="15:22" x14ac:dyDescent="0.3">
      <c r="O97" t="str">
        <f ca="1">IFERROR(INDEX(Roll!$C:$C, MATCH(M97, Roll!$B:$B, 0)), "")</f>
        <v/>
      </c>
      <c r="V97" t="str">
        <f ca="1">IFERROR(INDEX(Roll!$C:$C, MATCH(T97, Roll!$B:$B, 0)), "")</f>
        <v/>
      </c>
    </row>
    <row r="98" spans="15:22" x14ac:dyDescent="0.3">
      <c r="O98" t="str">
        <f ca="1">IFERROR(INDEX(Roll!$C:$C, MATCH(M98, Roll!$B:$B, 0)), "")</f>
        <v/>
      </c>
      <c r="V98" t="str">
        <f ca="1">IFERROR(INDEX(Roll!$C:$C, MATCH(T98, Roll!$B:$B, 0)), "")</f>
        <v/>
      </c>
    </row>
    <row r="99" spans="15:22" x14ac:dyDescent="0.3">
      <c r="O99" t="str">
        <f ca="1">IFERROR(INDEX(Roll!$C:$C, MATCH(M99, Roll!$B:$B, 0)), "")</f>
        <v/>
      </c>
      <c r="V99" t="str">
        <f ca="1">IFERROR(INDEX(Roll!$C:$C, MATCH(T99, Roll!$B:$B, 0)), "")</f>
        <v/>
      </c>
    </row>
    <row r="100" spans="15:22" x14ac:dyDescent="0.3">
      <c r="O100" t="str">
        <f ca="1">IFERROR(INDEX(Roll!$C:$C, MATCH(M100, Roll!$B:$B, 0)), "")</f>
        <v/>
      </c>
      <c r="V100" t="str">
        <f ca="1">IFERROR(INDEX(Roll!$C:$C, MATCH(T100, Roll!$B:$B, 0)), "")</f>
        <v/>
      </c>
    </row>
    <row r="101" spans="15:22" x14ac:dyDescent="0.3">
      <c r="O101" t="str">
        <f ca="1">IFERROR(INDEX(Roll!$C:$C, MATCH(M101, Roll!$B:$B, 0)), "")</f>
        <v/>
      </c>
      <c r="V101" t="str">
        <f ca="1">IFERROR(INDEX(Roll!$C:$C, MATCH(T101, Roll!$B:$B, 0)), "")</f>
        <v/>
      </c>
    </row>
    <row r="102" spans="15:22" x14ac:dyDescent="0.3">
      <c r="O102" t="str">
        <f ca="1">IFERROR(INDEX(Roll!$C:$C, MATCH(M102, Roll!$B:$B, 0)), "")</f>
        <v/>
      </c>
      <c r="V102" t="str">
        <f ca="1">IFERROR(INDEX(Roll!$C:$C, MATCH(T102, Roll!$B:$B, 0)), "")</f>
        <v/>
      </c>
    </row>
    <row r="103" spans="15:22" x14ac:dyDescent="0.3">
      <c r="O103" t="str">
        <f ca="1">IFERROR(INDEX(Roll!$C:$C, MATCH(M103, Roll!$B:$B, 0)), "")</f>
        <v/>
      </c>
      <c r="V103" t="str">
        <f ca="1">IFERROR(INDEX(Roll!$C:$C, MATCH(T103, Roll!$B:$B, 0)), "")</f>
        <v/>
      </c>
    </row>
    <row r="104" spans="15:22" x14ac:dyDescent="0.3">
      <c r="O104" t="str">
        <f ca="1">IFERROR(INDEX(Roll!$C:$C, MATCH(M104, Roll!$B:$B, 0)), "")</f>
        <v/>
      </c>
      <c r="V104" t="str">
        <f ca="1">IFERROR(INDEX(Roll!$C:$C, MATCH(T104, Roll!$B:$B, 0)), "")</f>
        <v/>
      </c>
    </row>
    <row r="105" spans="15:22" x14ac:dyDescent="0.3">
      <c r="O105" t="str">
        <f ca="1">IFERROR(INDEX(Roll!$C:$C, MATCH(M105, Roll!$B:$B, 0)), "")</f>
        <v/>
      </c>
      <c r="V105" t="str">
        <f ca="1">IFERROR(INDEX(Roll!$C:$C, MATCH(T105, Roll!$B:$B, 0)), "")</f>
        <v/>
      </c>
    </row>
    <row r="106" spans="15:22" x14ac:dyDescent="0.3">
      <c r="O106" t="str">
        <f ca="1">IFERROR(INDEX(Roll!$C:$C, MATCH(M106, Roll!$B:$B, 0)), "")</f>
        <v/>
      </c>
      <c r="V106" t="str">
        <f ca="1">IFERROR(INDEX(Roll!$C:$C, MATCH(T106, Roll!$B:$B, 0)), "")</f>
        <v/>
      </c>
    </row>
    <row r="107" spans="15:22" x14ac:dyDescent="0.3">
      <c r="O107" t="str">
        <f ca="1">IFERROR(INDEX(Roll!$C:$C, MATCH(M107, Roll!$B:$B, 0)), "")</f>
        <v/>
      </c>
      <c r="V107" t="str">
        <f ca="1">IFERROR(INDEX(Roll!$C:$C, MATCH(T107, Roll!$B:$B, 0)), "")</f>
        <v/>
      </c>
    </row>
    <row r="108" spans="15:22" x14ac:dyDescent="0.3">
      <c r="O108" t="str">
        <f ca="1">IFERROR(INDEX(Roll!$C:$C, MATCH(M108, Roll!$B:$B, 0)), "")</f>
        <v/>
      </c>
      <c r="V108" t="str">
        <f ca="1">IFERROR(INDEX(Roll!$C:$C, MATCH(T108, Roll!$B:$B, 0)), "")</f>
        <v/>
      </c>
    </row>
    <row r="109" spans="15:22" x14ac:dyDescent="0.3">
      <c r="O109" t="str">
        <f ca="1">IFERROR(INDEX(Roll!$C:$C, MATCH(M109, Roll!$B:$B, 0)), "")</f>
        <v/>
      </c>
      <c r="V109" t="str">
        <f ca="1">IFERROR(INDEX(Roll!$C:$C, MATCH(T109, Roll!$B:$B, 0)), "")</f>
        <v/>
      </c>
    </row>
    <row r="110" spans="15:22" x14ac:dyDescent="0.3">
      <c r="O110" t="str">
        <f ca="1">IFERROR(INDEX(Roll!$C:$C, MATCH(M110, Roll!$B:$B, 0)), "")</f>
        <v/>
      </c>
      <c r="V110" t="str">
        <f ca="1">IFERROR(INDEX(Roll!$C:$C, MATCH(T110, Roll!$B:$B, 0)), "")</f>
        <v/>
      </c>
    </row>
    <row r="111" spans="15:22" x14ac:dyDescent="0.3">
      <c r="O111" t="str">
        <f ca="1">IFERROR(INDEX(Roll!$C:$C, MATCH(M111, Roll!$B:$B, 0)), "")</f>
        <v/>
      </c>
      <c r="V111" t="str">
        <f ca="1">IFERROR(INDEX(Roll!$C:$C, MATCH(T111, Roll!$B:$B, 0)), "")</f>
        <v/>
      </c>
    </row>
    <row r="112" spans="15:22" x14ac:dyDescent="0.3">
      <c r="O112" t="str">
        <f ca="1">IFERROR(INDEX(Roll!$C:$C, MATCH(M112, Roll!$B:$B, 0)), "")</f>
        <v/>
      </c>
      <c r="V112" t="str">
        <f ca="1">IFERROR(INDEX(Roll!$C:$C, MATCH(T112, Roll!$B:$B, 0)), "")</f>
        <v/>
      </c>
    </row>
    <row r="113" spans="15:22" x14ac:dyDescent="0.3">
      <c r="O113" t="str">
        <f ca="1">IFERROR(INDEX(Roll!$C:$C, MATCH(M113, Roll!$B:$B, 0)), "")</f>
        <v/>
      </c>
      <c r="V113" t="str">
        <f ca="1">IFERROR(INDEX(Roll!$C:$C, MATCH(T113, Roll!$B:$B, 0)), "")</f>
        <v/>
      </c>
    </row>
    <row r="114" spans="15:22" x14ac:dyDescent="0.3">
      <c r="O114" t="str">
        <f ca="1">IFERROR(INDEX(Roll!$C:$C, MATCH(M114, Roll!$B:$B, 0)), "")</f>
        <v/>
      </c>
      <c r="V114" t="str">
        <f ca="1">IFERROR(INDEX(Roll!$C:$C, MATCH(T114, Roll!$B:$B, 0)), "")</f>
        <v/>
      </c>
    </row>
    <row r="115" spans="15:22" x14ac:dyDescent="0.3">
      <c r="O115" t="str">
        <f ca="1">IFERROR(INDEX(Roll!$C:$C, MATCH(M115, Roll!$B:$B, 0)), "")</f>
        <v/>
      </c>
      <c r="V115" t="str">
        <f ca="1">IFERROR(INDEX(Roll!$C:$C, MATCH(T115, Roll!$B:$B, 0)), "")</f>
        <v/>
      </c>
    </row>
    <row r="116" spans="15:22" x14ac:dyDescent="0.3">
      <c r="O116" t="str">
        <f ca="1">IFERROR(INDEX(Roll!$C:$C, MATCH(M116, Roll!$B:$B, 0)), "")</f>
        <v/>
      </c>
      <c r="V116" t="str">
        <f ca="1">IFERROR(INDEX(Roll!$C:$C, MATCH(T116, Roll!$B:$B, 0)), "")</f>
        <v/>
      </c>
    </row>
    <row r="117" spans="15:22" x14ac:dyDescent="0.3">
      <c r="O117" t="str">
        <f ca="1">IFERROR(INDEX(Roll!$C:$C, MATCH(M117, Roll!$B:$B, 0)), "")</f>
        <v/>
      </c>
      <c r="V117" t="str">
        <f ca="1">IFERROR(INDEX(Roll!$C:$C, MATCH(T117, Roll!$B:$B, 0)), "")</f>
        <v/>
      </c>
    </row>
    <row r="118" spans="15:22" x14ac:dyDescent="0.3">
      <c r="O118" t="str">
        <f ca="1">IFERROR(INDEX(Roll!$C:$C, MATCH(M118, Roll!$B:$B, 0)), "")</f>
        <v/>
      </c>
      <c r="V118" t="str">
        <f ca="1">IFERROR(INDEX(Roll!$C:$C, MATCH(T118, Roll!$B:$B, 0)), "")</f>
        <v/>
      </c>
    </row>
    <row r="119" spans="15:22" x14ac:dyDescent="0.3">
      <c r="O119" t="str">
        <f ca="1">IFERROR(INDEX(Roll!$C:$C, MATCH(M119, Roll!$B:$B, 0)), "")</f>
        <v/>
      </c>
      <c r="V119" t="str">
        <f ca="1">IFERROR(INDEX(Roll!$C:$C, MATCH(T119, Roll!$B:$B, 0)), "")</f>
        <v/>
      </c>
    </row>
    <row r="120" spans="15:22" x14ac:dyDescent="0.3">
      <c r="O120" t="str">
        <f ca="1">IFERROR(INDEX(Roll!$C:$C, MATCH(M120, Roll!$B:$B, 0)), "")</f>
        <v/>
      </c>
      <c r="V120" t="str">
        <f ca="1">IFERROR(INDEX(Roll!$C:$C, MATCH(T120, Roll!$B:$B, 0)), "")</f>
        <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613BE-D2A5-4679-9EE2-DFEAE6734DD6}">
  <sheetPr codeName="Sheet24"/>
  <dimension ref="A1:L200"/>
  <sheetViews>
    <sheetView topLeftCell="A8" workbookViewId="0">
      <selection activeCell="B5" sqref="A1:L7"/>
    </sheetView>
  </sheetViews>
  <sheetFormatPr defaultColWidth="13.77734375" defaultRowHeight="14.4" x14ac:dyDescent="0.3"/>
  <cols>
    <col min="1" max="1" width="13.6640625" style="25" bestFit="1" customWidth="1"/>
    <col min="2" max="2" width="16.33203125" style="12" bestFit="1" customWidth="1"/>
    <col min="3" max="3" width="13.77734375" style="25"/>
    <col min="4" max="4" width="17.21875" style="12" bestFit="1" customWidth="1"/>
    <col min="5" max="5" width="10.21875" style="25" bestFit="1" customWidth="1"/>
    <col min="6" max="6" width="16.33203125" style="12" bestFit="1" customWidth="1"/>
    <col min="7" max="7" width="8.109375" style="25" bestFit="1" customWidth="1"/>
    <col min="8" max="8" width="17.21875" style="12" bestFit="1" customWidth="1"/>
    <col min="9" max="9" width="10.21875" style="25" bestFit="1" customWidth="1"/>
    <col min="10" max="10" width="16.33203125" style="12" bestFit="1" customWidth="1"/>
    <col min="11" max="11" width="8.109375" style="25" bestFit="1" customWidth="1"/>
    <col min="12" max="12" width="17.21875" style="12" bestFit="1" customWidth="1"/>
    <col min="13" max="16384" width="13.77734375" style="1"/>
  </cols>
  <sheetData>
    <row r="1" spans="1:12" s="9" customFormat="1" x14ac:dyDescent="0.3">
      <c r="A1" s="8"/>
      <c r="B1" s="8"/>
      <c r="C1" s="8"/>
      <c r="E1" s="8"/>
      <c r="F1" s="8"/>
      <c r="G1" s="8"/>
      <c r="I1" s="8"/>
      <c r="J1" s="8"/>
      <c r="K1" s="8"/>
    </row>
    <row r="2" spans="1:12" x14ac:dyDescent="0.3">
      <c r="A2" s="2"/>
      <c r="B2" s="10"/>
      <c r="C2" s="2"/>
      <c r="E2" s="2"/>
      <c r="F2" s="10"/>
      <c r="G2" s="2"/>
      <c r="I2" s="2"/>
      <c r="J2" s="10"/>
      <c r="K2" s="2"/>
    </row>
    <row r="3" spans="1:12" x14ac:dyDescent="0.3">
      <c r="A3" s="2"/>
      <c r="B3" s="10"/>
      <c r="C3" s="2"/>
      <c r="E3" s="2"/>
      <c r="F3" s="10"/>
      <c r="G3" s="2"/>
      <c r="I3" s="2"/>
      <c r="J3" s="10"/>
      <c r="K3" s="2"/>
    </row>
    <row r="4" spans="1:12" x14ac:dyDescent="0.3">
      <c r="A4" s="2"/>
      <c r="B4" s="10"/>
      <c r="C4" s="2"/>
      <c r="E4" s="2"/>
      <c r="F4" s="10"/>
      <c r="G4" s="2"/>
      <c r="I4" s="2"/>
      <c r="J4" s="10"/>
      <c r="K4" s="2"/>
    </row>
    <row r="5" spans="1:12" x14ac:dyDescent="0.3">
      <c r="A5" s="2"/>
      <c r="B5" s="10"/>
      <c r="C5" s="2"/>
      <c r="E5" s="2"/>
      <c r="F5" s="10"/>
      <c r="G5" s="2"/>
      <c r="I5" s="2"/>
      <c r="J5" s="10"/>
      <c r="K5" s="2"/>
    </row>
    <row r="6" spans="1:12" s="9" customFormat="1" x14ac:dyDescent="0.3">
      <c r="A6" s="8"/>
      <c r="B6" s="8"/>
      <c r="C6" s="8"/>
      <c r="E6" s="8"/>
      <c r="F6" s="8"/>
      <c r="G6" s="8"/>
      <c r="I6" s="8"/>
      <c r="J6" s="8"/>
      <c r="K6" s="8"/>
    </row>
    <row r="7" spans="1:12" x14ac:dyDescent="0.3">
      <c r="A7" s="2"/>
      <c r="B7" s="10"/>
      <c r="C7" s="2"/>
      <c r="E7" s="2"/>
      <c r="F7" s="10"/>
      <c r="G7" s="2"/>
      <c r="I7" s="2"/>
      <c r="J7" s="10"/>
      <c r="K7" s="2"/>
    </row>
    <row r="8" spans="1:12" x14ac:dyDescent="0.3">
      <c r="A8" s="2"/>
      <c r="B8" s="10"/>
      <c r="C8" s="2"/>
      <c r="E8" s="2"/>
      <c r="F8" s="10"/>
      <c r="G8" s="2"/>
      <c r="I8" s="2"/>
      <c r="J8" s="10"/>
      <c r="K8" s="2"/>
    </row>
    <row r="9" spans="1:12" x14ac:dyDescent="0.3">
      <c r="A9" s="2"/>
      <c r="B9" s="10"/>
      <c r="C9" s="2"/>
      <c r="E9" s="2"/>
      <c r="F9" s="10"/>
      <c r="G9" s="2"/>
      <c r="I9" s="2"/>
      <c r="J9" s="10"/>
      <c r="K9" s="2"/>
    </row>
    <row r="10" spans="1:12" x14ac:dyDescent="0.3">
      <c r="A10" s="2"/>
      <c r="B10" s="10"/>
      <c r="C10" s="2"/>
      <c r="E10" s="2"/>
      <c r="F10" s="10"/>
      <c r="G10" s="2"/>
      <c r="I10" s="2"/>
      <c r="J10" s="10"/>
      <c r="K10" s="2"/>
    </row>
    <row r="11" spans="1:12" s="9" customFormat="1" x14ac:dyDescent="0.3">
      <c r="A11" s="8" t="s">
        <v>30</v>
      </c>
      <c r="B11" s="8" t="s">
        <v>34</v>
      </c>
      <c r="C11" s="8" t="s">
        <v>31</v>
      </c>
      <c r="D11" s="9" t="s">
        <v>35</v>
      </c>
      <c r="E11" s="8" t="s">
        <v>30</v>
      </c>
      <c r="F11" s="8" t="s">
        <v>34</v>
      </c>
      <c r="G11" s="8" t="s">
        <v>31</v>
      </c>
      <c r="H11" s="9" t="s">
        <v>35</v>
      </c>
      <c r="I11" s="8" t="s">
        <v>30</v>
      </c>
      <c r="J11" s="8" t="s">
        <v>34</v>
      </c>
      <c r="K11" s="8" t="s">
        <v>31</v>
      </c>
      <c r="L11" s="9" t="s">
        <v>35</v>
      </c>
    </row>
    <row r="12" spans="1:12" x14ac:dyDescent="0.3">
      <c r="A12" s="2" t="s">
        <v>29</v>
      </c>
      <c r="B12" s="10"/>
      <c r="C12" s="2" t="s">
        <v>29</v>
      </c>
      <c r="E12" s="2" t="s">
        <v>29</v>
      </c>
      <c r="F12" s="10"/>
      <c r="G12" s="2" t="s">
        <v>29</v>
      </c>
      <c r="I12" s="2" t="s">
        <v>29</v>
      </c>
      <c r="J12" s="10"/>
      <c r="K12" s="2" t="s">
        <v>29</v>
      </c>
    </row>
    <row r="13" spans="1:12" x14ac:dyDescent="0.3">
      <c r="A13" s="2"/>
      <c r="B13" s="10"/>
      <c r="C13" s="2"/>
      <c r="E13" s="2"/>
      <c r="F13" s="10"/>
      <c r="G13" s="2"/>
      <c r="I13" s="2"/>
      <c r="J13" s="10"/>
      <c r="K13" s="2"/>
    </row>
    <row r="14" spans="1:12" x14ac:dyDescent="0.3">
      <c r="A14" s="2"/>
      <c r="B14" s="10"/>
      <c r="C14" s="2"/>
      <c r="E14" s="2"/>
      <c r="F14" s="10"/>
      <c r="G14" s="2"/>
      <c r="I14" s="2"/>
      <c r="J14" s="10"/>
      <c r="K14" s="2"/>
    </row>
    <row r="15" spans="1:12" x14ac:dyDescent="0.3">
      <c r="A15" s="2"/>
      <c r="B15" s="10"/>
      <c r="C15" s="2"/>
      <c r="E15" s="2"/>
      <c r="F15" s="10"/>
      <c r="G15" s="2"/>
      <c r="I15" s="2"/>
      <c r="J15" s="10"/>
      <c r="K15" s="2"/>
    </row>
    <row r="16" spans="1:12" x14ac:dyDescent="0.3">
      <c r="A16" s="1"/>
      <c r="B16" s="1"/>
      <c r="C16" s="1"/>
      <c r="D16" s="1"/>
      <c r="E16" s="1"/>
      <c r="F16" s="1"/>
      <c r="G16" s="1"/>
      <c r="H16" s="1"/>
      <c r="I16" s="1"/>
      <c r="J16" s="1"/>
      <c r="K16" s="1"/>
      <c r="L16" s="1"/>
    </row>
    <row r="17" s="1" customFormat="1" x14ac:dyDescent="0.3"/>
    <row r="18" s="1" customFormat="1" x14ac:dyDescent="0.3"/>
    <row r="19" s="1" customFormat="1" x14ac:dyDescent="0.3"/>
    <row r="20" s="1" customFormat="1" x14ac:dyDescent="0.3"/>
    <row r="21" s="1" customFormat="1" x14ac:dyDescent="0.3"/>
    <row r="22" s="1" customFormat="1" x14ac:dyDescent="0.3"/>
    <row r="23" s="1" customFormat="1" x14ac:dyDescent="0.3"/>
    <row r="24" s="1" customFormat="1" x14ac:dyDescent="0.3"/>
    <row r="25" s="1" customFormat="1" x14ac:dyDescent="0.3"/>
    <row r="26" s="1" customFormat="1" x14ac:dyDescent="0.3"/>
    <row r="27" s="1" customFormat="1" x14ac:dyDescent="0.3"/>
    <row r="28" s="1" customFormat="1" x14ac:dyDescent="0.3"/>
    <row r="29" s="1" customFormat="1" x14ac:dyDescent="0.3"/>
    <row r="30" s="1" customFormat="1" x14ac:dyDescent="0.3"/>
    <row r="31" s="1" customFormat="1" x14ac:dyDescent="0.3"/>
    <row r="32" s="1" customFormat="1" x14ac:dyDescent="0.3"/>
    <row r="33" s="1" customFormat="1" x14ac:dyDescent="0.3"/>
    <row r="34" s="1" customFormat="1" x14ac:dyDescent="0.3"/>
    <row r="35" s="1" customFormat="1" x14ac:dyDescent="0.3"/>
    <row r="36" s="1" customFormat="1" x14ac:dyDescent="0.3"/>
    <row r="37" s="1" customFormat="1" x14ac:dyDescent="0.3"/>
    <row r="38" s="1" customFormat="1" x14ac:dyDescent="0.3"/>
    <row r="39" s="1" customFormat="1" x14ac:dyDescent="0.3"/>
    <row r="40" s="1" customFormat="1" x14ac:dyDescent="0.3"/>
    <row r="41" s="1" customFormat="1" x14ac:dyDescent="0.3"/>
    <row r="42" s="1" customFormat="1" x14ac:dyDescent="0.3"/>
    <row r="43" s="1" customFormat="1" x14ac:dyDescent="0.3"/>
    <row r="44" s="1" customFormat="1" x14ac:dyDescent="0.3"/>
    <row r="45" s="1" customFormat="1" x14ac:dyDescent="0.3"/>
    <row r="46" s="1" customFormat="1" x14ac:dyDescent="0.3"/>
    <row r="47" s="1" customFormat="1" x14ac:dyDescent="0.3"/>
    <row r="48" s="1" customFormat="1" x14ac:dyDescent="0.3"/>
    <row r="49" s="1" customFormat="1" x14ac:dyDescent="0.3"/>
    <row r="50" s="1" customFormat="1" x14ac:dyDescent="0.3"/>
    <row r="51" s="1" customFormat="1" x14ac:dyDescent="0.3"/>
    <row r="52" s="1" customFormat="1" x14ac:dyDescent="0.3"/>
    <row r="53" s="1" customFormat="1" x14ac:dyDescent="0.3"/>
    <row r="54" s="1" customFormat="1" x14ac:dyDescent="0.3"/>
    <row r="55" s="1" customFormat="1" x14ac:dyDescent="0.3"/>
    <row r="56" s="1" customFormat="1" x14ac:dyDescent="0.3"/>
    <row r="57" s="1" customFormat="1" x14ac:dyDescent="0.3"/>
    <row r="58" s="1" customFormat="1" x14ac:dyDescent="0.3"/>
    <row r="59" s="1" customFormat="1" x14ac:dyDescent="0.3"/>
    <row r="60" s="1" customFormat="1" x14ac:dyDescent="0.3"/>
    <row r="61" s="1" customFormat="1" x14ac:dyDescent="0.3"/>
    <row r="62" s="1" customFormat="1" x14ac:dyDescent="0.3"/>
    <row r="63" s="1" customFormat="1" x14ac:dyDescent="0.3"/>
    <row r="64"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1" customFormat="1" x14ac:dyDescent="0.3"/>
    <row r="119" s="1" customFormat="1" x14ac:dyDescent="0.3"/>
    <row r="120" s="1" customFormat="1" x14ac:dyDescent="0.3"/>
    <row r="121" s="1" customFormat="1" x14ac:dyDescent="0.3"/>
    <row r="122" s="1" customFormat="1" x14ac:dyDescent="0.3"/>
    <row r="123" s="1" customFormat="1" x14ac:dyDescent="0.3"/>
    <row r="124" s="1" customFormat="1" x14ac:dyDescent="0.3"/>
    <row r="125" s="1" customFormat="1" x14ac:dyDescent="0.3"/>
    <row r="126" s="1" customFormat="1" x14ac:dyDescent="0.3"/>
    <row r="127" s="1" customFormat="1" x14ac:dyDescent="0.3"/>
    <row r="128" s="1" customFormat="1" x14ac:dyDescent="0.3"/>
    <row r="129" s="1" customFormat="1" x14ac:dyDescent="0.3"/>
    <row r="130" s="1" customFormat="1" x14ac:dyDescent="0.3"/>
    <row r="131" s="1" customFormat="1" x14ac:dyDescent="0.3"/>
    <row r="132" s="1" customFormat="1" x14ac:dyDescent="0.3"/>
    <row r="133" s="1" customFormat="1" x14ac:dyDescent="0.3"/>
    <row r="134" s="1" customFormat="1" x14ac:dyDescent="0.3"/>
    <row r="135" s="1" customFormat="1" x14ac:dyDescent="0.3"/>
    <row r="136" s="1" customFormat="1" x14ac:dyDescent="0.3"/>
    <row r="137" s="1" customFormat="1" x14ac:dyDescent="0.3"/>
    <row r="138" s="1" customFormat="1" x14ac:dyDescent="0.3"/>
    <row r="139" s="1" customFormat="1" x14ac:dyDescent="0.3"/>
    <row r="140" s="1" customFormat="1" x14ac:dyDescent="0.3"/>
    <row r="141" s="1" customFormat="1" x14ac:dyDescent="0.3"/>
    <row r="142" s="1" customFormat="1" x14ac:dyDescent="0.3"/>
    <row r="143" s="1" customFormat="1" x14ac:dyDescent="0.3"/>
    <row r="144" s="1" customFormat="1" x14ac:dyDescent="0.3"/>
    <row r="145" s="1" customFormat="1" x14ac:dyDescent="0.3"/>
    <row r="146" s="1" customFormat="1" x14ac:dyDescent="0.3"/>
    <row r="147" s="1" customFormat="1" x14ac:dyDescent="0.3"/>
    <row r="148" s="1" customFormat="1" x14ac:dyDescent="0.3"/>
    <row r="149" s="1" customFormat="1" x14ac:dyDescent="0.3"/>
    <row r="150" s="1" customFormat="1" x14ac:dyDescent="0.3"/>
    <row r="151" s="1" customFormat="1" x14ac:dyDescent="0.3"/>
    <row r="152" s="1" customFormat="1" x14ac:dyDescent="0.3"/>
    <row r="153" s="1" customFormat="1" x14ac:dyDescent="0.3"/>
    <row r="154" s="1" customFormat="1" x14ac:dyDescent="0.3"/>
    <row r="155" s="1" customFormat="1" x14ac:dyDescent="0.3"/>
    <row r="156" s="1" customFormat="1" x14ac:dyDescent="0.3"/>
    <row r="157" s="1" customFormat="1" x14ac:dyDescent="0.3"/>
    <row r="158" s="1" customFormat="1" x14ac:dyDescent="0.3"/>
    <row r="159" s="1" customFormat="1" x14ac:dyDescent="0.3"/>
    <row r="160" s="1" customFormat="1" x14ac:dyDescent="0.3"/>
    <row r="161" s="1" customFormat="1" x14ac:dyDescent="0.3"/>
    <row r="162" s="1" customFormat="1" x14ac:dyDescent="0.3"/>
    <row r="163" s="1" customFormat="1" x14ac:dyDescent="0.3"/>
    <row r="164" s="1" customFormat="1" x14ac:dyDescent="0.3"/>
    <row r="165" s="1" customFormat="1" x14ac:dyDescent="0.3"/>
    <row r="166" s="1" customFormat="1" x14ac:dyDescent="0.3"/>
    <row r="167" s="1" customFormat="1" x14ac:dyDescent="0.3"/>
    <row r="168" s="1" customFormat="1" x14ac:dyDescent="0.3"/>
    <row r="169" s="1" customFormat="1" x14ac:dyDescent="0.3"/>
    <row r="170" s="1" customFormat="1" x14ac:dyDescent="0.3"/>
    <row r="171" s="1" customFormat="1" x14ac:dyDescent="0.3"/>
    <row r="172" s="1" customFormat="1" x14ac:dyDescent="0.3"/>
    <row r="173" s="1" customFormat="1" x14ac:dyDescent="0.3"/>
    <row r="174" s="1" customFormat="1" x14ac:dyDescent="0.3"/>
    <row r="175" s="1" customFormat="1" x14ac:dyDescent="0.3"/>
    <row r="176" s="1" customFormat="1" x14ac:dyDescent="0.3"/>
    <row r="177" s="1" customFormat="1" x14ac:dyDescent="0.3"/>
    <row r="178" s="1" customFormat="1" x14ac:dyDescent="0.3"/>
    <row r="179" s="1" customFormat="1" x14ac:dyDescent="0.3"/>
    <row r="180" s="1" customFormat="1" x14ac:dyDescent="0.3"/>
    <row r="181" s="1" customFormat="1" x14ac:dyDescent="0.3"/>
    <row r="182" s="1" customFormat="1" x14ac:dyDescent="0.3"/>
    <row r="183" s="1" customFormat="1" x14ac:dyDescent="0.3"/>
    <row r="184" s="1" customFormat="1" x14ac:dyDescent="0.3"/>
    <row r="185" s="1" customFormat="1" x14ac:dyDescent="0.3"/>
    <row r="186" s="1" customFormat="1" x14ac:dyDescent="0.3"/>
    <row r="187" s="1" customFormat="1" x14ac:dyDescent="0.3"/>
    <row r="188" s="1" customFormat="1" x14ac:dyDescent="0.3"/>
    <row r="189" s="1" customFormat="1" x14ac:dyDescent="0.3"/>
    <row r="190" s="1" customFormat="1" x14ac:dyDescent="0.3"/>
    <row r="191" s="1" customFormat="1" x14ac:dyDescent="0.3"/>
    <row r="192" s="1" customFormat="1" x14ac:dyDescent="0.3"/>
    <row r="193" s="1" customFormat="1" x14ac:dyDescent="0.3"/>
    <row r="194" s="1" customFormat="1" x14ac:dyDescent="0.3"/>
    <row r="195" s="1" customFormat="1" x14ac:dyDescent="0.3"/>
    <row r="196" s="1" customFormat="1" x14ac:dyDescent="0.3"/>
    <row r="197" s="1" customFormat="1" x14ac:dyDescent="0.3"/>
    <row r="198" s="1" customFormat="1" x14ac:dyDescent="0.3"/>
    <row r="199" s="1" customFormat="1" x14ac:dyDescent="0.3"/>
    <row r="200" s="1" customFormat="1" x14ac:dyDescent="0.3"/>
  </sheetData>
  <pageMargins left="0.7" right="0.7" top="0.75" bottom="0.75" header="0.3" footer="0.3"/>
  <drawing r:id="rId1"/>
  <legacyDrawing r:id="rId2"/>
  <controls>
    <mc:AlternateContent xmlns:mc="http://schemas.openxmlformats.org/markup-compatibility/2006">
      <mc:Choice Requires="x14">
        <control shapeId="37889" r:id="rId3" name="CommandButton1">
          <controlPr defaultSize="0" autoLine="0" autoPict="0" r:id="rId4">
            <anchor moveWithCells="1">
              <from>
                <xdr:col>0</xdr:col>
                <xdr:colOff>0</xdr:colOff>
                <xdr:row>18</xdr:row>
                <xdr:rowOff>7620</xdr:rowOff>
              </from>
              <to>
                <xdr:col>1</xdr:col>
                <xdr:colOff>426720</xdr:colOff>
                <xdr:row>21</xdr:row>
                <xdr:rowOff>7620</xdr:rowOff>
              </to>
            </anchor>
          </controlPr>
        </control>
      </mc:Choice>
      <mc:Fallback>
        <control shapeId="37889" r:id="rId3" name="CommandButton1"/>
      </mc:Fallback>
    </mc:AlternateContent>
    <mc:AlternateContent xmlns:mc="http://schemas.openxmlformats.org/markup-compatibility/2006">
      <mc:Choice Requires="x14">
        <control shapeId="37890" r:id="rId5" name="CommandButton2">
          <controlPr defaultSize="0" autoLine="0" r:id="rId6">
            <anchor moveWithCells="1">
              <from>
                <xdr:col>11</xdr:col>
                <xdr:colOff>99060</xdr:colOff>
                <xdr:row>18</xdr:row>
                <xdr:rowOff>7620</xdr:rowOff>
              </from>
              <to>
                <xdr:col>12</xdr:col>
                <xdr:colOff>297180</xdr:colOff>
                <xdr:row>21</xdr:row>
                <xdr:rowOff>15240</xdr:rowOff>
              </to>
            </anchor>
          </controlPr>
        </control>
      </mc:Choice>
      <mc:Fallback>
        <control shapeId="37890" r:id="rId5" name="CommandButton2"/>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B725E-C666-487F-88CE-AE135C90DBDC}">
  <sheetPr codeName="Sheet25"/>
  <dimension ref="A1:AE120"/>
  <sheetViews>
    <sheetView topLeftCell="T1" workbookViewId="0">
      <selection activeCell="W1" sqref="W1"/>
    </sheetView>
  </sheetViews>
  <sheetFormatPr defaultRowHeight="14.4" x14ac:dyDescent="0.3"/>
  <cols>
    <col min="13" max="13" width="20" customWidth="1"/>
    <col min="14" max="14" width="14.77734375" customWidth="1"/>
    <col min="15" max="15" width="6.77734375" customWidth="1"/>
    <col min="16" max="19" width="11.21875" customWidth="1"/>
    <col min="23" max="23" width="11.21875" customWidth="1"/>
    <col min="28" max="28" width="11.21875" customWidth="1"/>
    <col min="29" max="29" width="17.21875" customWidth="1"/>
  </cols>
  <sheetData>
    <row r="1" spans="1:31" x14ac:dyDescent="0.3">
      <c r="A1" s="8" t="s">
        <v>30</v>
      </c>
      <c r="B1" s="8" t="s">
        <v>34</v>
      </c>
      <c r="C1" s="8" t="s">
        <v>31</v>
      </c>
      <c r="D1" s="9" t="s">
        <v>35</v>
      </c>
      <c r="E1" s="8" t="s">
        <v>30</v>
      </c>
      <c r="F1" s="8" t="s">
        <v>34</v>
      </c>
      <c r="G1" s="8" t="s">
        <v>31</v>
      </c>
      <c r="H1" s="9" t="s">
        <v>35</v>
      </c>
      <c r="I1" s="8" t="s">
        <v>30</v>
      </c>
      <c r="J1" s="8" t="s">
        <v>34</v>
      </c>
      <c r="K1" s="8" t="s">
        <v>31</v>
      </c>
      <c r="L1" s="9" t="s">
        <v>35</v>
      </c>
      <c r="M1" s="6" t="s">
        <v>37</v>
      </c>
      <c r="N1" s="6" t="s">
        <v>38</v>
      </c>
      <c r="O1" s="6" t="s">
        <v>20</v>
      </c>
      <c r="P1" s="6" t="s">
        <v>36</v>
      </c>
      <c r="Q1" s="6" t="s">
        <v>41</v>
      </c>
      <c r="R1" s="6" t="s">
        <v>32</v>
      </c>
      <c r="S1" s="6" t="s">
        <v>42</v>
      </c>
      <c r="T1" s="6" t="s">
        <v>39</v>
      </c>
      <c r="U1" s="6" t="s">
        <v>40</v>
      </c>
      <c r="V1" s="6" t="s">
        <v>20</v>
      </c>
      <c r="W1" s="6" t="s">
        <v>36</v>
      </c>
      <c r="X1" s="6" t="s">
        <v>41</v>
      </c>
      <c r="Y1" s="6" t="s">
        <v>32</v>
      </c>
      <c r="Z1" s="6" t="s">
        <v>42</v>
      </c>
      <c r="AB1" s="6" t="s">
        <v>49</v>
      </c>
      <c r="AC1" s="6" t="s">
        <v>50</v>
      </c>
      <c r="AE1" t="e" cm="1" vm="1">
        <f t="array" aca="1" ref="AE1" ca="1">_xlfn.VSTACK(_xlfn._xlws.FILTER(P:S, (S:S&lt;&gt;"")*(S:S&lt;&gt;"Total Score")*(ISNA(S:S)=FALSE)), _xlfn._xlws.FILTER(W:Z, (X:X&lt;&gt;"")*(X:X&lt;&gt;"Total Score")*(ISNA(X:X)=FALSE)))</f>
        <v>#VALUE!</v>
      </c>
    </row>
    <row r="2" spans="1:31" x14ac:dyDescent="0.3">
      <c r="A2" t="str" cm="1">
        <f t="array" ref="A2">IFERROR(_xlfn._xlws.FILTER('Round 6'!$A:$B, ('Round 6'!$B:$B&lt;&gt;"")*('Round 6'!$A:$A&lt;&gt;"Affirmative")), "")</f>
        <v/>
      </c>
      <c r="C2" t="str" cm="1">
        <f t="array" ref="C2">IFERROR(_xlfn._xlws.FILTER('Round 6'!$C:$D, ('Round 6'!$D:$D&lt;&gt;"")*('Round 6'!$C:$C&lt;&gt;"Negative")), "")</f>
        <v/>
      </c>
      <c r="E2" t="str" cm="1">
        <f t="array" ref="E2">IFERROR(_xlfn._xlws.FILTER('Round 6'!$E:$F, ('Round 6'!$F:$F&lt;&gt;"")*('Round 6'!$E:$E&lt;&gt;"Affirmative")), "")</f>
        <v/>
      </c>
      <c r="G2" t="str" cm="1">
        <f t="array" ref="G2">IFERROR(_xlfn._xlws.FILTER('Round 6'!$G:$H, ('Round 6'!$H:$H&lt;&gt;"")*('Round 6'!$G:$G&lt;&gt;"Negative")), "")</f>
        <v/>
      </c>
      <c r="I2" t="str" cm="1">
        <f t="array" ref="I2">IFERROR(_xlfn._xlws.FILTER('Round 6'!$I:$J, ('Round 6'!$J:$J&lt;&gt;"")*('Round 6'!$I:$I&lt;&gt;"Affirmative")), "")</f>
        <v/>
      </c>
      <c r="K2" t="str" cm="1">
        <f t="array" ref="K2">IFERROR(_xlfn._xlws.FILTER('Round 6'!$K:$L, ('Round 6'!$L:$L&lt;&gt;"")*('Round 6'!$K:$K&lt;&gt;"Negative")), "")</f>
        <v/>
      </c>
      <c r="M2" t="str" cm="1">
        <f t="array" ref="M2:M4">IFERROR(_xlfn.VSTACK(_xlfn.ANCHORARRAY(A2),_xlfn.ANCHORARRAY( E2),_xlfn.ANCHORARRAY( I2)), "")</f>
        <v/>
      </c>
      <c r="O2" t="str">
        <f ca="1">IFERROR(INDEX(Roll!$C:$C, MATCH(M2, Roll!$B:$B, 0)), "")</f>
        <v/>
      </c>
      <c r="P2" t="str">
        <f ca="1">IF(O2&lt;&gt;"",IFERROR(MODE(O2:O4), O2), "")</f>
        <v/>
      </c>
      <c r="T2" t="str" cm="1">
        <f t="array" ref="T2:T4">IFERROR(_xlfn.VSTACK(_xlfn.ANCHORARRAY(C2),_xlfn.ANCHORARRAY( G2),_xlfn.ANCHORARRAY( K2)), "")</f>
        <v/>
      </c>
      <c r="V2" t="str">
        <f ca="1">IFERROR(INDEX(Roll!$C:$C, MATCH(T2, Roll!$B:$B, 0)), "")</f>
        <v/>
      </c>
      <c r="W2" t="str">
        <f ca="1">IF(V2&lt;&gt;"",IFERROR(MODE(V2:V4), V2), "")</f>
        <v/>
      </c>
      <c r="AB2" t="e" cm="1">
        <f t="array" ref="AB2">_xlfn.SORTBY(_xlfn.VSTACK(_xlfn.ANCHORARRAY(A2),_xlfn.ANCHORARRAY( C2),_xlfn.ANCHORARRAY( E2),_xlfn.ANCHORARRAY( G2),_xlfn.ANCHORARRAY( I2),_xlfn.ANCHORARRAY( K2)), INDEX(_xlfn.VSTACK(_xlfn.ANCHORARRAY(A2),_xlfn.ANCHORARRAY( C2),_xlfn.ANCHORARRAY( E2),_xlfn.ANCHORARRAY( G2),_xlfn.ANCHORARRAY( I2),_xlfn.ANCHORARRAY( K2)), , 2), -1)</f>
        <v>#REF!</v>
      </c>
    </row>
    <row r="3" spans="1:31" x14ac:dyDescent="0.3">
      <c r="M3" t="str">
        <v/>
      </c>
      <c r="O3" t="str">
        <f ca="1">IFERROR(INDEX(Roll!$C:$C, MATCH(M3, Roll!$B:$B, 0)), "")</f>
        <v/>
      </c>
      <c r="P3" t="str">
        <f ca="1">IF(O3&lt;&gt;"",IFERROR(MODE(O2:O4), O2), "")</f>
        <v/>
      </c>
      <c r="T3" t="str">
        <v/>
      </c>
      <c r="V3" t="str">
        <f ca="1">IFERROR(INDEX(Roll!$C:$C, MATCH(T3, Roll!$B:$B, 0)), "")</f>
        <v/>
      </c>
      <c r="W3" t="str">
        <f ca="1">IF(V3&lt;&gt;"",IFERROR(MODE(V2:V4), V2), "")</f>
        <v/>
      </c>
    </row>
    <row r="4" spans="1:31" x14ac:dyDescent="0.3">
      <c r="M4" t="str">
        <v/>
      </c>
      <c r="O4" t="str">
        <f ca="1">IFERROR(INDEX(Roll!$C:$C, MATCH(M4, Roll!$B:$B, 0)), "")</f>
        <v/>
      </c>
      <c r="P4" t="str">
        <f ca="1">IF(O4&lt;&gt;"",IFERROR(MODE(O2:O4), O2), "")</f>
        <v/>
      </c>
      <c r="Q4" t="str">
        <f>IF(N4&lt;&gt;"", IF(MOD(ROW()-1, 3)=0, SUM(N2:N4), ""), "")</f>
        <v/>
      </c>
      <c r="R4" t="str">
        <f>IFERROR(IF(MOD(ROW()-1, 3)=0, Q4-X4, ""), "")</f>
        <v/>
      </c>
      <c r="S4" t="str">
        <f>IF(N4&lt;&gt;"", IF(MOD(ROW()-1, 3)=0, IF((R4&gt;0), 1, 0), ""), "")</f>
        <v/>
      </c>
      <c r="T4" t="str">
        <v/>
      </c>
      <c r="V4" t="str">
        <f ca="1">IFERROR(INDEX(Roll!$C:$C, MATCH(T4, Roll!$B:$B, 0)), "")</f>
        <v/>
      </c>
      <c r="W4" t="str">
        <f ca="1">IF(V4&lt;&gt;"",IFERROR(MODE(V2:V4), V2), "")</f>
        <v/>
      </c>
      <c r="X4" t="str">
        <f>IF(U4&lt;&gt;"", IF(MOD(ROW()-1, 3)=0, SUM(U2:U4), ""), "")</f>
        <v/>
      </c>
      <c r="Y4" t="str">
        <f>IFERROR(IF(MOD(ROW()-1, 3)=0, X4-Q4, ""), "")</f>
        <v/>
      </c>
      <c r="Z4" t="str">
        <f>IF(U4&lt;&gt;"", IF(MOD(ROW()-1, 3)=0, IF((Y4&gt;0), 1, 0), ""), "")</f>
        <v/>
      </c>
    </row>
    <row r="5" spans="1:31" x14ac:dyDescent="0.3">
      <c r="O5" t="str">
        <f ca="1">IFERROR(INDEX(Roll!$C:$C, MATCH(M5, Roll!$B:$B, 0)), "")</f>
        <v/>
      </c>
      <c r="P5" t="str">
        <f ca="1">IF(O5&lt;&gt;"", IFERROR(MODE(O5:O7), O5), "")</f>
        <v/>
      </c>
      <c r="Q5" t="str">
        <f t="shared" ref="Q5:Q60" si="0">IF(N5&lt;&gt;"", IF(MOD(ROW()-1, 3)=0, SUM(N3:N5), ""), "")</f>
        <v/>
      </c>
      <c r="R5" t="str">
        <f t="shared" ref="R5:R60" si="1">IFERROR(IF(MOD(ROW()-1, 3)=0, Q5-X5, ""), "")</f>
        <v/>
      </c>
      <c r="S5" t="str">
        <f t="shared" ref="S5:S60" si="2">IF(N5&lt;&gt;"", IF(MOD(ROW()-1, 3)=0, IF((R5&gt;0), 1, 0), ""), "")</f>
        <v/>
      </c>
      <c r="V5" t="str">
        <f ca="1">IFERROR(INDEX(Roll!$C:$C, MATCH(T5, Roll!$B:$B, 0)), "")</f>
        <v/>
      </c>
      <c r="W5" t="str">
        <f ca="1">IF(V5&lt;&gt;"", IFERROR(MODE(V5:V7), V5), "")</f>
        <v/>
      </c>
      <c r="X5" t="str">
        <f t="shared" ref="X5:X60" si="3">IF(U5&lt;&gt;"", IF(MOD(ROW()-1, 3)=0, SUM(U3:U5), ""), "")</f>
        <v/>
      </c>
      <c r="Y5" t="str">
        <f t="shared" ref="Y5:Y60" si="4">IFERROR(IF(MOD(ROW()-1, 3)=0, X5-Q5, ""), "")</f>
        <v/>
      </c>
      <c r="Z5" t="str">
        <f t="shared" ref="Z5:Z60" si="5">IF(U5&lt;&gt;"", IF(MOD(ROW()-1, 3)=0, IF((Y5&gt;0), 1, 0), ""), "")</f>
        <v/>
      </c>
    </row>
    <row r="6" spans="1:31" x14ac:dyDescent="0.3">
      <c r="O6" t="str">
        <f ca="1">IFERROR(INDEX(Roll!$C:$C, MATCH(M6, Roll!$B:$B, 0)), "")</f>
        <v/>
      </c>
      <c r="P6" t="str">
        <f ca="1">IF(O6&lt;&gt;"", IFERROR(MODE(O5:O7), O5), "")</f>
        <v/>
      </c>
      <c r="Q6" t="str">
        <f t="shared" si="0"/>
        <v/>
      </c>
      <c r="R6" t="str">
        <f t="shared" si="1"/>
        <v/>
      </c>
      <c r="S6" t="str">
        <f t="shared" si="2"/>
        <v/>
      </c>
      <c r="V6" t="str">
        <f ca="1">IFERROR(INDEX(Roll!$C:$C, MATCH(T6, Roll!$B:$B, 0)), "")</f>
        <v/>
      </c>
      <c r="W6" t="str">
        <f ca="1">IF(V6&lt;&gt;"", IFERROR(MODE(V5:V7), V5), "")</f>
        <v/>
      </c>
      <c r="X6" t="str">
        <f t="shared" si="3"/>
        <v/>
      </c>
      <c r="Y6" t="str">
        <f t="shared" si="4"/>
        <v/>
      </c>
      <c r="Z6" t="str">
        <f t="shared" si="5"/>
        <v/>
      </c>
    </row>
    <row r="7" spans="1:31" x14ac:dyDescent="0.3">
      <c r="O7" t="str">
        <f ca="1">IFERROR(INDEX(Roll!$C:$C, MATCH(M7, Roll!$B:$B, 0)), "")</f>
        <v/>
      </c>
      <c r="P7" t="str">
        <f ca="1">IF(O7&lt;&gt;"", IFERROR(MODE(O5:O7), O5), "")</f>
        <v/>
      </c>
      <c r="Q7" t="str">
        <f t="shared" si="0"/>
        <v/>
      </c>
      <c r="R7" t="str">
        <f t="shared" si="1"/>
        <v/>
      </c>
      <c r="S7" t="str">
        <f t="shared" si="2"/>
        <v/>
      </c>
      <c r="V7" t="str">
        <f ca="1">IFERROR(INDEX(Roll!$C:$C, MATCH(T7, Roll!$B:$B, 0)), "")</f>
        <v/>
      </c>
      <c r="W7" t="str">
        <f ca="1">IF(V7&lt;&gt;"", IFERROR(MODE(V5:V7), V5), "")</f>
        <v/>
      </c>
      <c r="X7" t="str">
        <f t="shared" si="3"/>
        <v/>
      </c>
      <c r="Y7" t="str">
        <f t="shared" si="4"/>
        <v/>
      </c>
      <c r="Z7" t="str">
        <f t="shared" si="5"/>
        <v/>
      </c>
    </row>
    <row r="8" spans="1:31" x14ac:dyDescent="0.3">
      <c r="O8" t="str">
        <f ca="1">IFERROR(INDEX(Roll!$C:$C, MATCH(M8, Roll!$B:$B, 0)), "")</f>
        <v/>
      </c>
      <c r="P8" t="str">
        <f t="shared" ref="P8" ca="1" si="6">IF(O8&lt;&gt;"",IFERROR(MODE(O8:O10), O8), "")</f>
        <v/>
      </c>
      <c r="Q8" t="str">
        <f t="shared" si="0"/>
        <v/>
      </c>
      <c r="R8" t="str">
        <f t="shared" si="1"/>
        <v/>
      </c>
      <c r="S8" t="str">
        <f t="shared" si="2"/>
        <v/>
      </c>
      <c r="V8" t="str">
        <f ca="1">IFERROR(INDEX(Roll!$C:$C, MATCH(T8, Roll!$B:$B, 0)), "")</f>
        <v/>
      </c>
      <c r="W8" t="str">
        <f t="shared" ref="W8" ca="1" si="7">IF(V8&lt;&gt;"",IFERROR(MODE(V8:V10), V8), "")</f>
        <v/>
      </c>
      <c r="X8" t="str">
        <f t="shared" si="3"/>
        <v/>
      </c>
      <c r="Y8" t="str">
        <f t="shared" si="4"/>
        <v/>
      </c>
      <c r="Z8" t="str">
        <f t="shared" si="5"/>
        <v/>
      </c>
    </row>
    <row r="9" spans="1:31" x14ac:dyDescent="0.3">
      <c r="O9" t="str">
        <f ca="1">IFERROR(INDEX(Roll!$C:$C, MATCH(M9, Roll!$B:$B, 0)), "")</f>
        <v/>
      </c>
      <c r="P9" t="str">
        <f t="shared" ref="P9" ca="1" si="8">IF(O9&lt;&gt;"",IFERROR(MODE(O8:O10), O8), "")</f>
        <v/>
      </c>
      <c r="Q9" t="str">
        <f t="shared" si="0"/>
        <v/>
      </c>
      <c r="R9" t="str">
        <f t="shared" si="1"/>
        <v/>
      </c>
      <c r="S9" t="str">
        <f t="shared" si="2"/>
        <v/>
      </c>
      <c r="V9" t="str">
        <f ca="1">IFERROR(INDEX(Roll!$C:$C, MATCH(T9, Roll!$B:$B, 0)), "")</f>
        <v/>
      </c>
      <c r="W9" t="str">
        <f t="shared" ref="W9" ca="1" si="9">IF(V9&lt;&gt;"",IFERROR(MODE(V8:V10), V8), "")</f>
        <v/>
      </c>
      <c r="X9" t="str">
        <f t="shared" si="3"/>
        <v/>
      </c>
      <c r="Y9" t="str">
        <f t="shared" si="4"/>
        <v/>
      </c>
      <c r="Z9" t="str">
        <f t="shared" si="5"/>
        <v/>
      </c>
    </row>
    <row r="10" spans="1:31" x14ac:dyDescent="0.3">
      <c r="O10" t="str">
        <f ca="1">IFERROR(INDEX(Roll!$C:$C, MATCH(M10, Roll!$B:$B, 0)), "")</f>
        <v/>
      </c>
      <c r="P10" t="str">
        <f t="shared" ref="P10" ca="1" si="10">IF(O10&lt;&gt;"",IFERROR(MODE(O8:O10), O8), "")</f>
        <v/>
      </c>
      <c r="Q10" t="str">
        <f t="shared" si="0"/>
        <v/>
      </c>
      <c r="R10" t="str">
        <f t="shared" si="1"/>
        <v/>
      </c>
      <c r="S10" t="str">
        <f t="shared" si="2"/>
        <v/>
      </c>
      <c r="V10" t="str">
        <f ca="1">IFERROR(INDEX(Roll!$C:$C, MATCH(T10, Roll!$B:$B, 0)), "")</f>
        <v/>
      </c>
      <c r="W10" t="str">
        <f t="shared" ref="W10" ca="1" si="11">IF(V10&lt;&gt;"",IFERROR(MODE(V8:V10), V8), "")</f>
        <v/>
      </c>
      <c r="X10" t="str">
        <f t="shared" si="3"/>
        <v/>
      </c>
      <c r="Y10" t="str">
        <f t="shared" si="4"/>
        <v/>
      </c>
      <c r="Z10" t="str">
        <f t="shared" si="5"/>
        <v/>
      </c>
    </row>
    <row r="11" spans="1:31" x14ac:dyDescent="0.3">
      <c r="O11" t="str">
        <f ca="1">IFERROR(INDEX(Roll!$C:$C, MATCH(M11, Roll!$B:$B, 0)), "")</f>
        <v/>
      </c>
      <c r="P11" t="str">
        <f t="shared" ref="P11" ca="1" si="12">IF(O11&lt;&gt;"", IFERROR(MODE(O11:O13), O11), "")</f>
        <v/>
      </c>
      <c r="Q11" t="str">
        <f t="shared" si="0"/>
        <v/>
      </c>
      <c r="R11" t="str">
        <f t="shared" si="1"/>
        <v/>
      </c>
      <c r="S11" t="str">
        <f t="shared" si="2"/>
        <v/>
      </c>
      <c r="V11" t="str">
        <f ca="1">IFERROR(INDEX(Roll!$C:$C, MATCH(T11, Roll!$B:$B, 0)), "")</f>
        <v/>
      </c>
      <c r="W11" t="str">
        <f t="shared" ref="W11" ca="1" si="13">IF(V11&lt;&gt;"", IFERROR(MODE(V11:V13), V11), "")</f>
        <v/>
      </c>
      <c r="X11" t="str">
        <f t="shared" si="3"/>
        <v/>
      </c>
      <c r="Y11" t="str">
        <f t="shared" si="4"/>
        <v/>
      </c>
      <c r="Z11" t="str">
        <f t="shared" si="5"/>
        <v/>
      </c>
    </row>
    <row r="12" spans="1:31" x14ac:dyDescent="0.3">
      <c r="O12" t="str">
        <f ca="1">IFERROR(INDEX(Roll!$C:$C, MATCH(M12, Roll!$B:$B, 0)), "")</f>
        <v/>
      </c>
      <c r="P12" t="str">
        <f t="shared" ref="P12" ca="1" si="14">IF(O12&lt;&gt;"", IFERROR(MODE(O11:O13), O11), "")</f>
        <v/>
      </c>
      <c r="Q12" t="str">
        <f t="shared" si="0"/>
        <v/>
      </c>
      <c r="R12" t="str">
        <f t="shared" si="1"/>
        <v/>
      </c>
      <c r="S12" t="str">
        <f t="shared" si="2"/>
        <v/>
      </c>
      <c r="V12" t="str">
        <f ca="1">IFERROR(INDEX(Roll!$C:$C, MATCH(T12, Roll!$B:$B, 0)), "")</f>
        <v/>
      </c>
      <c r="W12" t="str">
        <f t="shared" ref="W12" ca="1" si="15">IF(V12&lt;&gt;"", IFERROR(MODE(V11:V13), V11), "")</f>
        <v/>
      </c>
      <c r="X12" t="str">
        <f t="shared" si="3"/>
        <v/>
      </c>
      <c r="Y12" t="str">
        <f t="shared" si="4"/>
        <v/>
      </c>
      <c r="Z12" t="str">
        <f t="shared" si="5"/>
        <v/>
      </c>
    </row>
    <row r="13" spans="1:31" x14ac:dyDescent="0.3">
      <c r="O13" t="str">
        <f ca="1">IFERROR(INDEX(Roll!$C:$C, MATCH(M13, Roll!$B:$B, 0)), "")</f>
        <v/>
      </c>
      <c r="P13" t="str">
        <f t="shared" ref="P13" ca="1" si="16">IF(O13&lt;&gt;"", IFERROR(MODE(O11:O13), O11), "")</f>
        <v/>
      </c>
      <c r="Q13" t="str">
        <f t="shared" si="0"/>
        <v/>
      </c>
      <c r="R13" t="str">
        <f t="shared" si="1"/>
        <v/>
      </c>
      <c r="S13" t="str">
        <f t="shared" si="2"/>
        <v/>
      </c>
      <c r="V13" t="str">
        <f ca="1">IFERROR(INDEX(Roll!$C:$C, MATCH(T13, Roll!$B:$B, 0)), "")</f>
        <v/>
      </c>
      <c r="W13" t="str">
        <f t="shared" ref="W13" ca="1" si="17">IF(V13&lt;&gt;"", IFERROR(MODE(V11:V13), V11), "")</f>
        <v/>
      </c>
      <c r="X13" t="str">
        <f t="shared" si="3"/>
        <v/>
      </c>
      <c r="Y13" t="str">
        <f t="shared" si="4"/>
        <v/>
      </c>
      <c r="Z13" t="str">
        <f t="shared" si="5"/>
        <v/>
      </c>
    </row>
    <row r="14" spans="1:31" x14ac:dyDescent="0.3">
      <c r="O14" t="str">
        <f ca="1">IFERROR(INDEX(Roll!$C:$C, MATCH(M14, Roll!$B:$B, 0)), "")</f>
        <v/>
      </c>
      <c r="P14" t="str">
        <f t="shared" ref="P14" ca="1" si="18">IF(O14&lt;&gt;"",IFERROR(MODE(O14:O16), O14), "")</f>
        <v/>
      </c>
      <c r="Q14" t="str">
        <f t="shared" si="0"/>
        <v/>
      </c>
      <c r="R14" t="str">
        <f t="shared" si="1"/>
        <v/>
      </c>
      <c r="S14" t="str">
        <f t="shared" si="2"/>
        <v/>
      </c>
      <c r="V14" t="str">
        <f ca="1">IFERROR(INDEX(Roll!$C:$C, MATCH(T14, Roll!$B:$B, 0)), "")</f>
        <v/>
      </c>
      <c r="W14" t="str">
        <f t="shared" ref="W14" ca="1" si="19">IF(V14&lt;&gt;"",IFERROR(MODE(V14:V16), V14), "")</f>
        <v/>
      </c>
      <c r="X14" t="str">
        <f t="shared" si="3"/>
        <v/>
      </c>
      <c r="Y14" t="str">
        <f t="shared" si="4"/>
        <v/>
      </c>
      <c r="Z14" t="str">
        <f t="shared" si="5"/>
        <v/>
      </c>
    </row>
    <row r="15" spans="1:31" x14ac:dyDescent="0.3">
      <c r="O15" t="str">
        <f ca="1">IFERROR(INDEX(Roll!$C:$C, MATCH(M15, Roll!$B:$B, 0)), "")</f>
        <v/>
      </c>
      <c r="P15" t="str">
        <f t="shared" ref="P15" ca="1" si="20">IF(O15&lt;&gt;"",IFERROR(MODE(O14:O16), O14), "")</f>
        <v/>
      </c>
      <c r="Q15" t="str">
        <f t="shared" si="0"/>
        <v/>
      </c>
      <c r="R15" t="str">
        <f t="shared" si="1"/>
        <v/>
      </c>
      <c r="S15" t="str">
        <f t="shared" si="2"/>
        <v/>
      </c>
      <c r="V15" t="str">
        <f ca="1">IFERROR(INDEX(Roll!$C:$C, MATCH(T15, Roll!$B:$B, 0)), "")</f>
        <v/>
      </c>
      <c r="W15" t="str">
        <f t="shared" ref="W15" ca="1" si="21">IF(V15&lt;&gt;"",IFERROR(MODE(V14:V16), V14), "")</f>
        <v/>
      </c>
      <c r="X15" t="str">
        <f t="shared" si="3"/>
        <v/>
      </c>
      <c r="Y15" t="str">
        <f t="shared" si="4"/>
        <v/>
      </c>
      <c r="Z15" t="str">
        <f t="shared" si="5"/>
        <v/>
      </c>
    </row>
    <row r="16" spans="1:31" x14ac:dyDescent="0.3">
      <c r="O16" t="str">
        <f ca="1">IFERROR(INDEX(Roll!$C:$C, MATCH(M16, Roll!$B:$B, 0)), "")</f>
        <v/>
      </c>
      <c r="P16" t="str">
        <f t="shared" ref="P16" ca="1" si="22">IF(O16&lt;&gt;"",IFERROR(MODE(O14:O16), O14), "")</f>
        <v/>
      </c>
      <c r="Q16" t="str">
        <f t="shared" si="0"/>
        <v/>
      </c>
      <c r="R16" t="str">
        <f t="shared" si="1"/>
        <v/>
      </c>
      <c r="S16" t="str">
        <f t="shared" si="2"/>
        <v/>
      </c>
      <c r="V16" t="str">
        <f ca="1">IFERROR(INDEX(Roll!$C:$C, MATCH(T16, Roll!$B:$B, 0)), "")</f>
        <v/>
      </c>
      <c r="W16" t="str">
        <f t="shared" ref="W16" ca="1" si="23">IF(V16&lt;&gt;"",IFERROR(MODE(V14:V16), V14), "")</f>
        <v/>
      </c>
      <c r="X16" t="str">
        <f t="shared" si="3"/>
        <v/>
      </c>
      <c r="Y16" t="str">
        <f t="shared" si="4"/>
        <v/>
      </c>
      <c r="Z16" t="str">
        <f t="shared" si="5"/>
        <v/>
      </c>
    </row>
    <row r="17" spans="15:26" x14ac:dyDescent="0.3">
      <c r="O17" t="str">
        <f ca="1">IFERROR(INDEX(Roll!$C:$C, MATCH(M17, Roll!$B:$B, 0)), "")</f>
        <v/>
      </c>
      <c r="P17" t="str">
        <f t="shared" ref="P17" ca="1" si="24">IF(O17&lt;&gt;"", IFERROR(MODE(O17:O19), O17), "")</f>
        <v/>
      </c>
      <c r="Q17" t="str">
        <f t="shared" si="0"/>
        <v/>
      </c>
      <c r="R17" t="str">
        <f t="shared" si="1"/>
        <v/>
      </c>
      <c r="S17" t="str">
        <f t="shared" si="2"/>
        <v/>
      </c>
      <c r="V17" t="str">
        <f ca="1">IFERROR(INDEX(Roll!$C:$C, MATCH(T17, Roll!$B:$B, 0)), "")</f>
        <v/>
      </c>
      <c r="W17" t="str">
        <f t="shared" ref="W17" ca="1" si="25">IF(V17&lt;&gt;"", IFERROR(MODE(V17:V19), V17), "")</f>
        <v/>
      </c>
      <c r="X17" t="str">
        <f t="shared" si="3"/>
        <v/>
      </c>
      <c r="Y17" t="str">
        <f t="shared" si="4"/>
        <v/>
      </c>
      <c r="Z17" t="str">
        <f t="shared" si="5"/>
        <v/>
      </c>
    </row>
    <row r="18" spans="15:26" x14ac:dyDescent="0.3">
      <c r="O18" t="str">
        <f ca="1">IFERROR(INDEX(Roll!$C:$C, MATCH(M18, Roll!$B:$B, 0)), "")</f>
        <v/>
      </c>
      <c r="P18" t="str">
        <f t="shared" ref="P18" ca="1" si="26">IF(O18&lt;&gt;"", IFERROR(MODE(O17:O19), O17), "")</f>
        <v/>
      </c>
      <c r="Q18" t="str">
        <f t="shared" si="0"/>
        <v/>
      </c>
      <c r="R18" t="str">
        <f t="shared" si="1"/>
        <v/>
      </c>
      <c r="S18" t="str">
        <f t="shared" si="2"/>
        <v/>
      </c>
      <c r="V18" t="str">
        <f ca="1">IFERROR(INDEX(Roll!$C:$C, MATCH(T18, Roll!$B:$B, 0)), "")</f>
        <v/>
      </c>
      <c r="W18" t="str">
        <f t="shared" ref="W18" ca="1" si="27">IF(V18&lt;&gt;"", IFERROR(MODE(V17:V19), V17), "")</f>
        <v/>
      </c>
      <c r="X18" t="str">
        <f t="shared" si="3"/>
        <v/>
      </c>
      <c r="Y18" t="str">
        <f t="shared" si="4"/>
        <v/>
      </c>
      <c r="Z18" t="str">
        <f t="shared" si="5"/>
        <v/>
      </c>
    </row>
    <row r="19" spans="15:26" x14ac:dyDescent="0.3">
      <c r="O19" t="str">
        <f ca="1">IFERROR(INDEX(Roll!$C:$C, MATCH(M19, Roll!$B:$B, 0)), "")</f>
        <v/>
      </c>
      <c r="P19" t="str">
        <f t="shared" ref="P19" ca="1" si="28">IF(O19&lt;&gt;"", IFERROR(MODE(O17:O19), O17), "")</f>
        <v/>
      </c>
      <c r="Q19" t="str">
        <f t="shared" si="0"/>
        <v/>
      </c>
      <c r="R19" t="str">
        <f t="shared" si="1"/>
        <v/>
      </c>
      <c r="S19" t="str">
        <f t="shared" si="2"/>
        <v/>
      </c>
      <c r="V19" t="str">
        <f ca="1">IFERROR(INDEX(Roll!$C:$C, MATCH(T19, Roll!$B:$B, 0)), "")</f>
        <v/>
      </c>
      <c r="W19" t="str">
        <f t="shared" ref="W19" ca="1" si="29">IF(V19&lt;&gt;"", IFERROR(MODE(V17:V19), V17), "")</f>
        <v/>
      </c>
      <c r="X19" t="str">
        <f t="shared" si="3"/>
        <v/>
      </c>
      <c r="Y19" t="str">
        <f t="shared" si="4"/>
        <v/>
      </c>
      <c r="Z19" t="str">
        <f t="shared" si="5"/>
        <v/>
      </c>
    </row>
    <row r="20" spans="15:26" x14ac:dyDescent="0.3">
      <c r="O20" t="str">
        <f ca="1">IFERROR(INDEX(Roll!$C:$C, MATCH(M20, Roll!$B:$B, 0)), "")</f>
        <v/>
      </c>
      <c r="P20" t="str">
        <f t="shared" ref="P20" ca="1" si="30">IF(O20&lt;&gt;"",IFERROR(MODE(O20:O22), O20), "")</f>
        <v/>
      </c>
      <c r="Q20" t="str">
        <f t="shared" si="0"/>
        <v/>
      </c>
      <c r="R20" t="str">
        <f t="shared" si="1"/>
        <v/>
      </c>
      <c r="S20" t="str">
        <f t="shared" si="2"/>
        <v/>
      </c>
      <c r="V20" t="str">
        <f ca="1">IFERROR(INDEX(Roll!$C:$C, MATCH(T20, Roll!$B:$B, 0)), "")</f>
        <v/>
      </c>
      <c r="W20" t="str">
        <f t="shared" ref="W20:W56" ca="1" si="31">IF(V20&lt;&gt;"",IFERROR(MODE(V20:V22), V20), "")</f>
        <v/>
      </c>
      <c r="X20" t="str">
        <f t="shared" si="3"/>
        <v/>
      </c>
      <c r="Y20" t="str">
        <f t="shared" si="4"/>
        <v/>
      </c>
      <c r="Z20" t="str">
        <f t="shared" si="5"/>
        <v/>
      </c>
    </row>
    <row r="21" spans="15:26" x14ac:dyDescent="0.3">
      <c r="O21" t="str">
        <f ca="1">IFERROR(INDEX(Roll!$C:$C, MATCH(M21, Roll!$B:$B, 0)), "")</f>
        <v/>
      </c>
      <c r="P21" t="str">
        <f t="shared" ref="P21" ca="1" si="32">IF(O21&lt;&gt;"",IFERROR(MODE(O20:O22), O20), "")</f>
        <v/>
      </c>
      <c r="Q21" t="str">
        <f t="shared" si="0"/>
        <v/>
      </c>
      <c r="R21" t="str">
        <f t="shared" si="1"/>
        <v/>
      </c>
      <c r="S21" t="str">
        <f t="shared" si="2"/>
        <v/>
      </c>
      <c r="V21" t="str">
        <f ca="1">IFERROR(INDEX(Roll!$C:$C, MATCH(T21, Roll!$B:$B, 0)), "")</f>
        <v/>
      </c>
      <c r="W21" t="str">
        <f t="shared" ref="W21:W57" ca="1" si="33">IF(V21&lt;&gt;"",IFERROR(MODE(V20:V22), V20), "")</f>
        <v/>
      </c>
      <c r="X21" t="str">
        <f t="shared" si="3"/>
        <v/>
      </c>
      <c r="Y21" t="str">
        <f t="shared" si="4"/>
        <v/>
      </c>
      <c r="Z21" t="str">
        <f t="shared" si="5"/>
        <v/>
      </c>
    </row>
    <row r="22" spans="15:26" x14ac:dyDescent="0.3">
      <c r="O22" t="str">
        <f ca="1">IFERROR(INDEX(Roll!$C:$C, MATCH(M22, Roll!$B:$B, 0)), "")</f>
        <v/>
      </c>
      <c r="P22" t="str">
        <f t="shared" ref="P22" ca="1" si="34">IF(O22&lt;&gt;"",IFERROR(MODE(O20:O22), O20), "")</f>
        <v/>
      </c>
      <c r="Q22" t="str">
        <f t="shared" si="0"/>
        <v/>
      </c>
      <c r="R22" t="str">
        <f t="shared" si="1"/>
        <v/>
      </c>
      <c r="S22" t="str">
        <f t="shared" si="2"/>
        <v/>
      </c>
      <c r="V22" t="str">
        <f ca="1">IFERROR(INDEX(Roll!$C:$C, MATCH(T22, Roll!$B:$B, 0)), "")</f>
        <v/>
      </c>
      <c r="W22" t="str">
        <f t="shared" ref="W22:W58" ca="1" si="35">IF(V22&lt;&gt;"",IFERROR(MODE(V20:V22), V20), "")</f>
        <v/>
      </c>
      <c r="X22" t="str">
        <f t="shared" si="3"/>
        <v/>
      </c>
      <c r="Y22" t="str">
        <f t="shared" si="4"/>
        <v/>
      </c>
      <c r="Z22" t="str">
        <f t="shared" si="5"/>
        <v/>
      </c>
    </row>
    <row r="23" spans="15:26" x14ac:dyDescent="0.3">
      <c r="O23" t="str">
        <f ca="1">IFERROR(INDEX(Roll!$C:$C, MATCH(M23, Roll!$B:$B, 0)), "")</f>
        <v/>
      </c>
      <c r="P23" t="str">
        <f t="shared" ref="P23" ca="1" si="36">IF(O23&lt;&gt;"", IFERROR(MODE(O23:O25), O23), "")</f>
        <v/>
      </c>
      <c r="Q23" t="str">
        <f t="shared" si="0"/>
        <v/>
      </c>
      <c r="R23" t="str">
        <f t="shared" si="1"/>
        <v/>
      </c>
      <c r="S23" t="str">
        <f t="shared" si="2"/>
        <v/>
      </c>
      <c r="V23" t="str">
        <f ca="1">IFERROR(INDEX(Roll!$C:$C, MATCH(T23, Roll!$B:$B, 0)), "")</f>
        <v/>
      </c>
      <c r="W23" t="str">
        <f t="shared" ref="W23:W59" ca="1" si="37">IF(V23&lt;&gt;"", IFERROR(MODE(V23:V25), V23), "")</f>
        <v/>
      </c>
      <c r="X23" t="str">
        <f t="shared" si="3"/>
        <v/>
      </c>
      <c r="Y23" t="str">
        <f t="shared" si="4"/>
        <v/>
      </c>
      <c r="Z23" t="str">
        <f t="shared" si="5"/>
        <v/>
      </c>
    </row>
    <row r="24" spans="15:26" x14ac:dyDescent="0.3">
      <c r="O24" t="str">
        <f ca="1">IFERROR(INDEX(Roll!$C:$C, MATCH(M24, Roll!$B:$B, 0)), "")</f>
        <v/>
      </c>
      <c r="P24" t="str">
        <f t="shared" ref="P24" ca="1" si="38">IF(O24&lt;&gt;"", IFERROR(MODE(O23:O25), O23), "")</f>
        <v/>
      </c>
      <c r="Q24" t="str">
        <f t="shared" si="0"/>
        <v/>
      </c>
      <c r="R24" t="str">
        <f t="shared" si="1"/>
        <v/>
      </c>
      <c r="S24" t="str">
        <f t="shared" si="2"/>
        <v/>
      </c>
      <c r="V24" t="str">
        <f ca="1">IFERROR(INDEX(Roll!$C:$C, MATCH(T24, Roll!$B:$B, 0)), "")</f>
        <v/>
      </c>
      <c r="W24" t="str">
        <f t="shared" ref="W24:W60" ca="1" si="39">IF(V24&lt;&gt;"", IFERROR(MODE(V23:V25), V23), "")</f>
        <v/>
      </c>
      <c r="X24" t="str">
        <f t="shared" si="3"/>
        <v/>
      </c>
      <c r="Y24" t="str">
        <f t="shared" si="4"/>
        <v/>
      </c>
      <c r="Z24" t="str">
        <f t="shared" si="5"/>
        <v/>
      </c>
    </row>
    <row r="25" spans="15:26" x14ac:dyDescent="0.3">
      <c r="O25" t="str">
        <f ca="1">IFERROR(INDEX(Roll!$C:$C, MATCH(M25, Roll!$B:$B, 0)), "")</f>
        <v/>
      </c>
      <c r="P25" t="str">
        <f t="shared" ref="P25" ca="1" si="40">IF(O25&lt;&gt;"", IFERROR(MODE(O23:O25), O23), "")</f>
        <v/>
      </c>
      <c r="Q25" t="str">
        <f t="shared" si="0"/>
        <v/>
      </c>
      <c r="R25" t="str">
        <f t="shared" si="1"/>
        <v/>
      </c>
      <c r="S25" t="str">
        <f t="shared" si="2"/>
        <v/>
      </c>
      <c r="V25" t="str">
        <f ca="1">IFERROR(INDEX(Roll!$C:$C, MATCH(T25, Roll!$B:$B, 0)), "")</f>
        <v/>
      </c>
      <c r="W25" t="str">
        <f t="shared" ref="W25:W49" ca="1" si="41">IF(V25&lt;&gt;"", IFERROR(MODE(V23:V25), V23), "")</f>
        <v/>
      </c>
      <c r="X25" t="str">
        <f t="shared" si="3"/>
        <v/>
      </c>
      <c r="Y25" t="str">
        <f t="shared" si="4"/>
        <v/>
      </c>
      <c r="Z25" t="str">
        <f t="shared" si="5"/>
        <v/>
      </c>
    </row>
    <row r="26" spans="15:26" x14ac:dyDescent="0.3">
      <c r="O26" t="str">
        <f ca="1">IFERROR(INDEX(Roll!$C:$C, MATCH(M26, Roll!$B:$B, 0)), "")</f>
        <v/>
      </c>
      <c r="P26" t="str">
        <f t="shared" ref="P26" ca="1" si="42">IF(O26&lt;&gt;"",IFERROR(MODE(O26:O28), O26), "")</f>
        <v/>
      </c>
      <c r="Q26" t="str">
        <f t="shared" si="0"/>
        <v/>
      </c>
      <c r="R26" t="str">
        <f t="shared" si="1"/>
        <v/>
      </c>
      <c r="S26" t="str">
        <f t="shared" si="2"/>
        <v/>
      </c>
      <c r="V26" t="str">
        <f ca="1">IFERROR(INDEX(Roll!$C:$C, MATCH(T26, Roll!$B:$B, 0)), "")</f>
        <v/>
      </c>
      <c r="W26" t="str">
        <f t="shared" ref="W26" ca="1" si="43">IF(V26&lt;&gt;"",IFERROR(MODE(V26:V28), V26), "")</f>
        <v/>
      </c>
      <c r="X26" t="str">
        <f t="shared" si="3"/>
        <v/>
      </c>
      <c r="Y26" t="str">
        <f t="shared" si="4"/>
        <v/>
      </c>
      <c r="Z26" t="str">
        <f t="shared" si="5"/>
        <v/>
      </c>
    </row>
    <row r="27" spans="15:26" x14ac:dyDescent="0.3">
      <c r="O27" t="str">
        <f ca="1">IFERROR(INDEX(Roll!$C:$C, MATCH(M27, Roll!$B:$B, 0)), "")</f>
        <v/>
      </c>
      <c r="P27" t="str">
        <f t="shared" ref="P27" ca="1" si="44">IF(O27&lt;&gt;"",IFERROR(MODE(O26:O28), O26), "")</f>
        <v/>
      </c>
      <c r="Q27" t="str">
        <f t="shared" si="0"/>
        <v/>
      </c>
      <c r="R27" t="str">
        <f t="shared" si="1"/>
        <v/>
      </c>
      <c r="S27" t="str">
        <f t="shared" si="2"/>
        <v/>
      </c>
      <c r="V27" t="str">
        <f ca="1">IFERROR(INDEX(Roll!$C:$C, MATCH(T27, Roll!$B:$B, 0)), "")</f>
        <v/>
      </c>
      <c r="W27" t="str">
        <f t="shared" ref="W27" ca="1" si="45">IF(V27&lt;&gt;"",IFERROR(MODE(V26:V28), V26), "")</f>
        <v/>
      </c>
      <c r="X27" t="str">
        <f t="shared" si="3"/>
        <v/>
      </c>
      <c r="Y27" t="str">
        <f t="shared" si="4"/>
        <v/>
      </c>
      <c r="Z27" t="str">
        <f t="shared" si="5"/>
        <v/>
      </c>
    </row>
    <row r="28" spans="15:26" x14ac:dyDescent="0.3">
      <c r="O28" t="str">
        <f ca="1">IFERROR(INDEX(Roll!$C:$C, MATCH(M28, Roll!$B:$B, 0)), "")</f>
        <v/>
      </c>
      <c r="P28" t="str">
        <f t="shared" ref="P28" ca="1" si="46">IF(O28&lt;&gt;"",IFERROR(MODE(O26:O28), O26), "")</f>
        <v/>
      </c>
      <c r="Q28" t="str">
        <f t="shared" si="0"/>
        <v/>
      </c>
      <c r="R28" t="str">
        <f t="shared" si="1"/>
        <v/>
      </c>
      <c r="S28" t="str">
        <f t="shared" si="2"/>
        <v/>
      </c>
      <c r="V28" t="str">
        <f ca="1">IFERROR(INDEX(Roll!$C:$C, MATCH(T28, Roll!$B:$B, 0)), "")</f>
        <v/>
      </c>
      <c r="W28" t="str">
        <f t="shared" ref="W28" ca="1" si="47">IF(V28&lt;&gt;"",IFERROR(MODE(V26:V28), V26), "")</f>
        <v/>
      </c>
      <c r="X28" t="str">
        <f t="shared" si="3"/>
        <v/>
      </c>
      <c r="Y28" t="str">
        <f t="shared" si="4"/>
        <v/>
      </c>
      <c r="Z28" t="str">
        <f t="shared" si="5"/>
        <v/>
      </c>
    </row>
    <row r="29" spans="15:26" x14ac:dyDescent="0.3">
      <c r="O29" t="str">
        <f ca="1">IFERROR(INDEX(Roll!$C:$C, MATCH(M29, Roll!$B:$B, 0)), "")</f>
        <v/>
      </c>
      <c r="P29" t="str">
        <f t="shared" ref="P29" ca="1" si="48">IF(O29&lt;&gt;"", IFERROR(MODE(O29:O31), O29), "")</f>
        <v/>
      </c>
      <c r="Q29" t="str">
        <f t="shared" si="0"/>
        <v/>
      </c>
      <c r="R29" t="str">
        <f t="shared" si="1"/>
        <v/>
      </c>
      <c r="S29" t="str">
        <f t="shared" si="2"/>
        <v/>
      </c>
      <c r="V29" t="str">
        <f ca="1">IFERROR(INDEX(Roll!$C:$C, MATCH(T29, Roll!$B:$B, 0)), "")</f>
        <v/>
      </c>
      <c r="W29" t="str">
        <f t="shared" ref="W29" ca="1" si="49">IF(V29&lt;&gt;"", IFERROR(MODE(V29:V31), V29), "")</f>
        <v/>
      </c>
      <c r="X29" t="str">
        <f t="shared" si="3"/>
        <v/>
      </c>
      <c r="Y29" t="str">
        <f t="shared" si="4"/>
        <v/>
      </c>
      <c r="Z29" t="str">
        <f t="shared" si="5"/>
        <v/>
      </c>
    </row>
    <row r="30" spans="15:26" x14ac:dyDescent="0.3">
      <c r="O30" t="str">
        <f ca="1">IFERROR(INDEX(Roll!$C:$C, MATCH(M30, Roll!$B:$B, 0)), "")</f>
        <v/>
      </c>
      <c r="P30" t="str">
        <f t="shared" ref="P30" ca="1" si="50">IF(O30&lt;&gt;"", IFERROR(MODE(O29:O31), O29), "")</f>
        <v/>
      </c>
      <c r="Q30" t="str">
        <f t="shared" si="0"/>
        <v/>
      </c>
      <c r="R30" t="str">
        <f t="shared" si="1"/>
        <v/>
      </c>
      <c r="S30" t="str">
        <f t="shared" si="2"/>
        <v/>
      </c>
      <c r="V30" t="str">
        <f ca="1">IFERROR(INDEX(Roll!$C:$C, MATCH(T30, Roll!$B:$B, 0)), "")</f>
        <v/>
      </c>
      <c r="W30" t="str">
        <f t="shared" ref="W30" ca="1" si="51">IF(V30&lt;&gt;"", IFERROR(MODE(V29:V31), V29), "")</f>
        <v/>
      </c>
      <c r="X30" t="str">
        <f t="shared" si="3"/>
        <v/>
      </c>
      <c r="Y30" t="str">
        <f t="shared" si="4"/>
        <v/>
      </c>
      <c r="Z30" t="str">
        <f t="shared" si="5"/>
        <v/>
      </c>
    </row>
    <row r="31" spans="15:26" x14ac:dyDescent="0.3">
      <c r="O31" t="str">
        <f ca="1">IFERROR(INDEX(Roll!$C:$C, MATCH(M31, Roll!$B:$B, 0)), "")</f>
        <v/>
      </c>
      <c r="P31" t="str">
        <f t="shared" ref="P31" ca="1" si="52">IF(O31&lt;&gt;"", IFERROR(MODE(O29:O31), O29), "")</f>
        <v/>
      </c>
      <c r="Q31" t="str">
        <f t="shared" si="0"/>
        <v/>
      </c>
      <c r="R31" t="str">
        <f t="shared" si="1"/>
        <v/>
      </c>
      <c r="S31" t="str">
        <f t="shared" si="2"/>
        <v/>
      </c>
      <c r="V31" t="str">
        <f ca="1">IFERROR(INDEX(Roll!$C:$C, MATCH(T31, Roll!$B:$B, 0)), "")</f>
        <v/>
      </c>
      <c r="W31" t="str">
        <f t="shared" ref="W31" ca="1" si="53">IF(V31&lt;&gt;"", IFERROR(MODE(V29:V31), V29), "")</f>
        <v/>
      </c>
      <c r="X31" t="str">
        <f t="shared" si="3"/>
        <v/>
      </c>
      <c r="Y31" t="str">
        <f t="shared" si="4"/>
        <v/>
      </c>
      <c r="Z31" t="str">
        <f t="shared" si="5"/>
        <v/>
      </c>
    </row>
    <row r="32" spans="15:26" x14ac:dyDescent="0.3">
      <c r="O32" t="str">
        <f ca="1">IFERROR(INDEX(Roll!$C:$C, MATCH(M32, Roll!$B:$B, 0)), "")</f>
        <v/>
      </c>
      <c r="P32" t="str">
        <f t="shared" ref="P32" ca="1" si="54">IF(O32&lt;&gt;"",IFERROR(MODE(O32:O34), O32), "")</f>
        <v/>
      </c>
      <c r="Q32" t="str">
        <f t="shared" si="0"/>
        <v/>
      </c>
      <c r="R32" t="str">
        <f t="shared" si="1"/>
        <v/>
      </c>
      <c r="S32" t="str">
        <f t="shared" si="2"/>
        <v/>
      </c>
      <c r="V32" t="str">
        <f ca="1">IFERROR(INDEX(Roll!$C:$C, MATCH(T32, Roll!$B:$B, 0)), "")</f>
        <v/>
      </c>
      <c r="W32" t="str">
        <f t="shared" ca="1" si="31"/>
        <v/>
      </c>
      <c r="X32" t="str">
        <f t="shared" si="3"/>
        <v/>
      </c>
      <c r="Y32" t="str">
        <f t="shared" si="4"/>
        <v/>
      </c>
      <c r="Z32" t="str">
        <f t="shared" si="5"/>
        <v/>
      </c>
    </row>
    <row r="33" spans="15:26" x14ac:dyDescent="0.3">
      <c r="O33" t="str">
        <f ca="1">IFERROR(INDEX(Roll!$C:$C, MATCH(M33, Roll!$B:$B, 0)), "")</f>
        <v/>
      </c>
      <c r="P33" t="str">
        <f t="shared" ref="P33" ca="1" si="55">IF(O33&lt;&gt;"",IFERROR(MODE(O32:O34), O32), "")</f>
        <v/>
      </c>
      <c r="Q33" t="str">
        <f t="shared" si="0"/>
        <v/>
      </c>
      <c r="R33" t="str">
        <f t="shared" si="1"/>
        <v/>
      </c>
      <c r="S33" t="str">
        <f t="shared" si="2"/>
        <v/>
      </c>
      <c r="V33" t="str">
        <f ca="1">IFERROR(INDEX(Roll!$C:$C, MATCH(T33, Roll!$B:$B, 0)), "")</f>
        <v/>
      </c>
      <c r="W33" t="str">
        <f t="shared" ca="1" si="33"/>
        <v/>
      </c>
      <c r="X33" t="str">
        <f t="shared" si="3"/>
        <v/>
      </c>
      <c r="Y33" t="str">
        <f t="shared" si="4"/>
        <v/>
      </c>
      <c r="Z33" t="str">
        <f t="shared" si="5"/>
        <v/>
      </c>
    </row>
    <row r="34" spans="15:26" x14ac:dyDescent="0.3">
      <c r="O34" t="str">
        <f ca="1">IFERROR(INDEX(Roll!$C:$C, MATCH(M34, Roll!$B:$B, 0)), "")</f>
        <v/>
      </c>
      <c r="P34" t="str">
        <f t="shared" ref="P34" ca="1" si="56">IF(O34&lt;&gt;"",IFERROR(MODE(O32:O34), O32), "")</f>
        <v/>
      </c>
      <c r="Q34" t="str">
        <f t="shared" si="0"/>
        <v/>
      </c>
      <c r="R34" t="str">
        <f t="shared" si="1"/>
        <v/>
      </c>
      <c r="S34" t="str">
        <f t="shared" si="2"/>
        <v/>
      </c>
      <c r="V34" t="str">
        <f ca="1">IFERROR(INDEX(Roll!$C:$C, MATCH(T34, Roll!$B:$B, 0)), "")</f>
        <v/>
      </c>
      <c r="W34" t="str">
        <f t="shared" ca="1" si="35"/>
        <v/>
      </c>
      <c r="X34" t="str">
        <f t="shared" si="3"/>
        <v/>
      </c>
      <c r="Y34" t="str">
        <f t="shared" si="4"/>
        <v/>
      </c>
      <c r="Z34" t="str">
        <f t="shared" si="5"/>
        <v/>
      </c>
    </row>
    <row r="35" spans="15:26" x14ac:dyDescent="0.3">
      <c r="O35" t="str">
        <f ca="1">IFERROR(INDEX(Roll!$C:$C, MATCH(M35, Roll!$B:$B, 0)), "")</f>
        <v/>
      </c>
      <c r="P35" t="str">
        <f t="shared" ref="P35" ca="1" si="57">IF(O35&lt;&gt;"", IFERROR(MODE(O35:O37), O35), "")</f>
        <v/>
      </c>
      <c r="Q35" t="str">
        <f t="shared" si="0"/>
        <v/>
      </c>
      <c r="R35" t="str">
        <f t="shared" si="1"/>
        <v/>
      </c>
      <c r="S35" t="str">
        <f t="shared" si="2"/>
        <v/>
      </c>
      <c r="V35" t="str">
        <f ca="1">IFERROR(INDEX(Roll!$C:$C, MATCH(T35, Roll!$B:$B, 0)), "")</f>
        <v/>
      </c>
      <c r="W35" t="str">
        <f t="shared" ca="1" si="37"/>
        <v/>
      </c>
      <c r="X35" t="str">
        <f t="shared" si="3"/>
        <v/>
      </c>
      <c r="Y35" t="str">
        <f t="shared" si="4"/>
        <v/>
      </c>
      <c r="Z35" t="str">
        <f t="shared" si="5"/>
        <v/>
      </c>
    </row>
    <row r="36" spans="15:26" x14ac:dyDescent="0.3">
      <c r="O36" t="str">
        <f ca="1">IFERROR(INDEX(Roll!$C:$C, MATCH(M36, Roll!$B:$B, 0)), "")</f>
        <v/>
      </c>
      <c r="P36" t="str">
        <f t="shared" ref="P36" ca="1" si="58">IF(O36&lt;&gt;"", IFERROR(MODE(O35:O37), O35), "")</f>
        <v/>
      </c>
      <c r="Q36" t="str">
        <f t="shared" si="0"/>
        <v/>
      </c>
      <c r="R36" t="str">
        <f t="shared" si="1"/>
        <v/>
      </c>
      <c r="S36" t="str">
        <f t="shared" si="2"/>
        <v/>
      </c>
      <c r="V36" t="str">
        <f ca="1">IFERROR(INDEX(Roll!$C:$C, MATCH(T36, Roll!$B:$B, 0)), "")</f>
        <v/>
      </c>
      <c r="W36" t="str">
        <f t="shared" ca="1" si="39"/>
        <v/>
      </c>
      <c r="X36" t="str">
        <f t="shared" si="3"/>
        <v/>
      </c>
      <c r="Y36" t="str">
        <f t="shared" si="4"/>
        <v/>
      </c>
      <c r="Z36" t="str">
        <f t="shared" si="5"/>
        <v/>
      </c>
    </row>
    <row r="37" spans="15:26" x14ac:dyDescent="0.3">
      <c r="O37" t="str">
        <f ca="1">IFERROR(INDEX(Roll!$C:$C, MATCH(M37, Roll!$B:$B, 0)), "")</f>
        <v/>
      </c>
      <c r="P37" t="str">
        <f t="shared" ref="P37" ca="1" si="59">IF(O37&lt;&gt;"", IFERROR(MODE(O35:O37), O35), "")</f>
        <v/>
      </c>
      <c r="Q37" t="str">
        <f t="shared" si="0"/>
        <v/>
      </c>
      <c r="R37" t="str">
        <f t="shared" si="1"/>
        <v/>
      </c>
      <c r="S37" t="str">
        <f t="shared" si="2"/>
        <v/>
      </c>
      <c r="V37" t="str">
        <f ca="1">IFERROR(INDEX(Roll!$C:$C, MATCH(T37, Roll!$B:$B, 0)), "")</f>
        <v/>
      </c>
      <c r="W37" t="str">
        <f t="shared" ca="1" si="41"/>
        <v/>
      </c>
      <c r="X37" t="str">
        <f t="shared" si="3"/>
        <v/>
      </c>
      <c r="Y37" t="str">
        <f t="shared" si="4"/>
        <v/>
      </c>
      <c r="Z37" t="str">
        <f t="shared" si="5"/>
        <v/>
      </c>
    </row>
    <row r="38" spans="15:26" x14ac:dyDescent="0.3">
      <c r="O38" t="str">
        <f ca="1">IFERROR(INDEX(Roll!$C:$C, MATCH(M38, Roll!$B:$B, 0)), "")</f>
        <v/>
      </c>
      <c r="P38" t="str">
        <f t="shared" ref="P38" ca="1" si="60">IF(O38&lt;&gt;"",IFERROR(MODE(O38:O40), O38), "")</f>
        <v/>
      </c>
      <c r="Q38" t="str">
        <f t="shared" si="0"/>
        <v/>
      </c>
      <c r="R38" t="str">
        <f t="shared" si="1"/>
        <v/>
      </c>
      <c r="S38" t="str">
        <f t="shared" si="2"/>
        <v/>
      </c>
      <c r="V38" t="str">
        <f ca="1">IFERROR(INDEX(Roll!$C:$C, MATCH(T38, Roll!$B:$B, 0)), "")</f>
        <v/>
      </c>
      <c r="W38" t="str">
        <f t="shared" ref="W38" ca="1" si="61">IF(V38&lt;&gt;"",IFERROR(MODE(V38:V40), V38), "")</f>
        <v/>
      </c>
      <c r="X38" t="str">
        <f t="shared" si="3"/>
        <v/>
      </c>
      <c r="Y38" t="str">
        <f t="shared" si="4"/>
        <v/>
      </c>
      <c r="Z38" t="str">
        <f t="shared" si="5"/>
        <v/>
      </c>
    </row>
    <row r="39" spans="15:26" x14ac:dyDescent="0.3">
      <c r="O39" t="str">
        <f ca="1">IFERROR(INDEX(Roll!$C:$C, MATCH(M39, Roll!$B:$B, 0)), "")</f>
        <v/>
      </c>
      <c r="P39" t="str">
        <f t="shared" ref="P39" ca="1" si="62">IF(O39&lt;&gt;"",IFERROR(MODE(O38:O40), O38), "")</f>
        <v/>
      </c>
      <c r="Q39" t="str">
        <f t="shared" si="0"/>
        <v/>
      </c>
      <c r="R39" t="str">
        <f t="shared" si="1"/>
        <v/>
      </c>
      <c r="S39" t="str">
        <f t="shared" si="2"/>
        <v/>
      </c>
      <c r="V39" t="str">
        <f ca="1">IFERROR(INDEX(Roll!$C:$C, MATCH(T39, Roll!$B:$B, 0)), "")</f>
        <v/>
      </c>
      <c r="W39" t="str">
        <f t="shared" ref="W39" ca="1" si="63">IF(V39&lt;&gt;"",IFERROR(MODE(V38:V40), V38), "")</f>
        <v/>
      </c>
      <c r="X39" t="str">
        <f t="shared" si="3"/>
        <v/>
      </c>
      <c r="Y39" t="str">
        <f t="shared" si="4"/>
        <v/>
      </c>
      <c r="Z39" t="str">
        <f t="shared" si="5"/>
        <v/>
      </c>
    </row>
    <row r="40" spans="15:26" x14ac:dyDescent="0.3">
      <c r="O40" t="str">
        <f ca="1">IFERROR(INDEX(Roll!$C:$C, MATCH(M40, Roll!$B:$B, 0)), "")</f>
        <v/>
      </c>
      <c r="P40" t="str">
        <f t="shared" ref="P40" ca="1" si="64">IF(O40&lt;&gt;"",IFERROR(MODE(O38:O40), O38), "")</f>
        <v/>
      </c>
      <c r="Q40" t="str">
        <f t="shared" si="0"/>
        <v/>
      </c>
      <c r="R40" t="str">
        <f t="shared" si="1"/>
        <v/>
      </c>
      <c r="S40" t="str">
        <f t="shared" si="2"/>
        <v/>
      </c>
      <c r="V40" t="str">
        <f ca="1">IFERROR(INDEX(Roll!$C:$C, MATCH(T40, Roll!$B:$B, 0)), "")</f>
        <v/>
      </c>
      <c r="W40" t="str">
        <f t="shared" ref="W40" ca="1" si="65">IF(V40&lt;&gt;"",IFERROR(MODE(V38:V40), V38), "")</f>
        <v/>
      </c>
      <c r="X40" t="str">
        <f t="shared" si="3"/>
        <v/>
      </c>
      <c r="Y40" t="str">
        <f t="shared" si="4"/>
        <v/>
      </c>
      <c r="Z40" t="str">
        <f t="shared" si="5"/>
        <v/>
      </c>
    </row>
    <row r="41" spans="15:26" x14ac:dyDescent="0.3">
      <c r="O41" t="str">
        <f ca="1">IFERROR(INDEX(Roll!$C:$C, MATCH(M41, Roll!$B:$B, 0)), "")</f>
        <v/>
      </c>
      <c r="P41" t="str">
        <f t="shared" ref="P41" ca="1" si="66">IF(O41&lt;&gt;"", IFERROR(MODE(O41:O43), O41), "")</f>
        <v/>
      </c>
      <c r="Q41" t="str">
        <f t="shared" si="0"/>
        <v/>
      </c>
      <c r="R41" t="str">
        <f t="shared" si="1"/>
        <v/>
      </c>
      <c r="S41" t="str">
        <f t="shared" si="2"/>
        <v/>
      </c>
      <c r="V41" t="str">
        <f ca="1">IFERROR(INDEX(Roll!$C:$C, MATCH(T41, Roll!$B:$B, 0)), "")</f>
        <v/>
      </c>
      <c r="W41" t="str">
        <f t="shared" ref="W41" ca="1" si="67">IF(V41&lt;&gt;"", IFERROR(MODE(V41:V43), V41), "")</f>
        <v/>
      </c>
      <c r="X41" t="str">
        <f t="shared" si="3"/>
        <v/>
      </c>
      <c r="Y41" t="str">
        <f t="shared" si="4"/>
        <v/>
      </c>
      <c r="Z41" t="str">
        <f t="shared" si="5"/>
        <v/>
      </c>
    </row>
    <row r="42" spans="15:26" x14ac:dyDescent="0.3">
      <c r="O42" t="str">
        <f ca="1">IFERROR(INDEX(Roll!$C:$C, MATCH(M42, Roll!$B:$B, 0)), "")</f>
        <v/>
      </c>
      <c r="P42" t="str">
        <f t="shared" ref="P42" ca="1" si="68">IF(O42&lt;&gt;"", IFERROR(MODE(O41:O43), O41), "")</f>
        <v/>
      </c>
      <c r="Q42" t="str">
        <f t="shared" si="0"/>
        <v/>
      </c>
      <c r="R42" t="str">
        <f t="shared" si="1"/>
        <v/>
      </c>
      <c r="S42" t="str">
        <f t="shared" si="2"/>
        <v/>
      </c>
      <c r="V42" t="str">
        <f ca="1">IFERROR(INDEX(Roll!$C:$C, MATCH(T42, Roll!$B:$B, 0)), "")</f>
        <v/>
      </c>
      <c r="W42" t="str">
        <f t="shared" ref="W42" ca="1" si="69">IF(V42&lt;&gt;"", IFERROR(MODE(V41:V43), V41), "")</f>
        <v/>
      </c>
      <c r="X42" t="str">
        <f t="shared" si="3"/>
        <v/>
      </c>
      <c r="Y42" t="str">
        <f t="shared" si="4"/>
        <v/>
      </c>
      <c r="Z42" t="str">
        <f t="shared" si="5"/>
        <v/>
      </c>
    </row>
    <row r="43" spans="15:26" x14ac:dyDescent="0.3">
      <c r="O43" t="str">
        <f ca="1">IFERROR(INDEX(Roll!$C:$C, MATCH(M43, Roll!$B:$B, 0)), "")</f>
        <v/>
      </c>
      <c r="P43" t="str">
        <f t="shared" ref="P43" ca="1" si="70">IF(O43&lt;&gt;"", IFERROR(MODE(O41:O43), O41), "")</f>
        <v/>
      </c>
      <c r="Q43" t="str">
        <f t="shared" si="0"/>
        <v/>
      </c>
      <c r="R43" t="str">
        <f t="shared" si="1"/>
        <v/>
      </c>
      <c r="S43" t="str">
        <f t="shared" si="2"/>
        <v/>
      </c>
      <c r="V43" t="str">
        <f ca="1">IFERROR(INDEX(Roll!$C:$C, MATCH(T43, Roll!$B:$B, 0)), "")</f>
        <v/>
      </c>
      <c r="W43" t="str">
        <f t="shared" ref="W43" ca="1" si="71">IF(V43&lt;&gt;"", IFERROR(MODE(V41:V43), V41), "")</f>
        <v/>
      </c>
      <c r="X43" t="str">
        <f t="shared" si="3"/>
        <v/>
      </c>
      <c r="Y43" t="str">
        <f t="shared" si="4"/>
        <v/>
      </c>
      <c r="Z43" t="str">
        <f t="shared" si="5"/>
        <v/>
      </c>
    </row>
    <row r="44" spans="15:26" x14ac:dyDescent="0.3">
      <c r="O44" t="str">
        <f ca="1">IFERROR(INDEX(Roll!$C:$C, MATCH(M44, Roll!$B:$B, 0)), "")</f>
        <v/>
      </c>
      <c r="P44" t="str">
        <f t="shared" ref="P44" ca="1" si="72">IF(O44&lt;&gt;"",IFERROR(MODE(O44:O46), O44), "")</f>
        <v/>
      </c>
      <c r="Q44" t="str">
        <f t="shared" si="0"/>
        <v/>
      </c>
      <c r="R44" t="str">
        <f t="shared" si="1"/>
        <v/>
      </c>
      <c r="S44" t="str">
        <f t="shared" si="2"/>
        <v/>
      </c>
      <c r="V44" t="str">
        <f ca="1">IFERROR(INDEX(Roll!$C:$C, MATCH(T44, Roll!$B:$B, 0)), "")</f>
        <v/>
      </c>
      <c r="W44" t="str">
        <f t="shared" ca="1" si="31"/>
        <v/>
      </c>
      <c r="X44" t="str">
        <f t="shared" si="3"/>
        <v/>
      </c>
      <c r="Y44" t="str">
        <f t="shared" si="4"/>
        <v/>
      </c>
      <c r="Z44" t="str">
        <f t="shared" si="5"/>
        <v/>
      </c>
    </row>
    <row r="45" spans="15:26" x14ac:dyDescent="0.3">
      <c r="O45" t="str">
        <f ca="1">IFERROR(INDEX(Roll!$C:$C, MATCH(M45, Roll!$B:$B, 0)), "")</f>
        <v/>
      </c>
      <c r="P45" t="str">
        <f t="shared" ref="P45" ca="1" si="73">IF(O45&lt;&gt;"",IFERROR(MODE(O44:O46), O44), "")</f>
        <v/>
      </c>
      <c r="Q45" t="str">
        <f t="shared" si="0"/>
        <v/>
      </c>
      <c r="R45" t="str">
        <f t="shared" si="1"/>
        <v/>
      </c>
      <c r="S45" t="str">
        <f t="shared" si="2"/>
        <v/>
      </c>
      <c r="V45" t="str">
        <f ca="1">IFERROR(INDEX(Roll!$C:$C, MATCH(T45, Roll!$B:$B, 0)), "")</f>
        <v/>
      </c>
      <c r="W45" t="str">
        <f t="shared" ca="1" si="33"/>
        <v/>
      </c>
      <c r="X45" t="str">
        <f t="shared" si="3"/>
        <v/>
      </c>
      <c r="Y45" t="str">
        <f t="shared" si="4"/>
        <v/>
      </c>
      <c r="Z45" t="str">
        <f t="shared" si="5"/>
        <v/>
      </c>
    </row>
    <row r="46" spans="15:26" x14ac:dyDescent="0.3">
      <c r="O46" t="str">
        <f ca="1">IFERROR(INDEX(Roll!$C:$C, MATCH(M46, Roll!$B:$B, 0)), "")</f>
        <v/>
      </c>
      <c r="P46" t="str">
        <f t="shared" ref="P46" ca="1" si="74">IF(O46&lt;&gt;"",IFERROR(MODE(O44:O46), O44), "")</f>
        <v/>
      </c>
      <c r="Q46" t="str">
        <f t="shared" si="0"/>
        <v/>
      </c>
      <c r="R46" t="str">
        <f t="shared" si="1"/>
        <v/>
      </c>
      <c r="S46" t="str">
        <f t="shared" si="2"/>
        <v/>
      </c>
      <c r="V46" t="str">
        <f ca="1">IFERROR(INDEX(Roll!$C:$C, MATCH(T46, Roll!$B:$B, 0)), "")</f>
        <v/>
      </c>
      <c r="W46" t="str">
        <f t="shared" ca="1" si="35"/>
        <v/>
      </c>
      <c r="X46" t="str">
        <f t="shared" si="3"/>
        <v/>
      </c>
      <c r="Y46" t="str">
        <f t="shared" si="4"/>
        <v/>
      </c>
      <c r="Z46" t="str">
        <f t="shared" si="5"/>
        <v/>
      </c>
    </row>
    <row r="47" spans="15:26" x14ac:dyDescent="0.3">
      <c r="O47" t="str">
        <f ca="1">IFERROR(INDEX(Roll!$C:$C, MATCH(M47, Roll!$B:$B, 0)), "")</f>
        <v/>
      </c>
      <c r="P47" t="str">
        <f t="shared" ref="P47" ca="1" si="75">IF(O47&lt;&gt;"", IFERROR(MODE(O47:O49), O47), "")</f>
        <v/>
      </c>
      <c r="Q47" t="str">
        <f t="shared" si="0"/>
        <v/>
      </c>
      <c r="R47" t="str">
        <f t="shared" si="1"/>
        <v/>
      </c>
      <c r="S47" t="str">
        <f t="shared" si="2"/>
        <v/>
      </c>
      <c r="V47" t="str">
        <f ca="1">IFERROR(INDEX(Roll!$C:$C, MATCH(T47, Roll!$B:$B, 0)), "")</f>
        <v/>
      </c>
      <c r="W47" t="str">
        <f t="shared" ca="1" si="37"/>
        <v/>
      </c>
      <c r="X47" t="str">
        <f t="shared" si="3"/>
        <v/>
      </c>
      <c r="Y47" t="str">
        <f t="shared" si="4"/>
        <v/>
      </c>
      <c r="Z47" t="str">
        <f t="shared" si="5"/>
        <v/>
      </c>
    </row>
    <row r="48" spans="15:26" x14ac:dyDescent="0.3">
      <c r="O48" t="str">
        <f ca="1">IFERROR(INDEX(Roll!$C:$C, MATCH(M48, Roll!$B:$B, 0)), "")</f>
        <v/>
      </c>
      <c r="P48" t="str">
        <f t="shared" ref="P48" ca="1" si="76">IF(O48&lt;&gt;"", IFERROR(MODE(O47:O49), O47), "")</f>
        <v/>
      </c>
      <c r="Q48" t="str">
        <f t="shared" si="0"/>
        <v/>
      </c>
      <c r="R48" t="str">
        <f t="shared" si="1"/>
        <v/>
      </c>
      <c r="S48" t="str">
        <f t="shared" si="2"/>
        <v/>
      </c>
      <c r="V48" t="str">
        <f ca="1">IFERROR(INDEX(Roll!$C:$C, MATCH(T48, Roll!$B:$B, 0)), "")</f>
        <v/>
      </c>
      <c r="W48" t="str">
        <f t="shared" ca="1" si="39"/>
        <v/>
      </c>
      <c r="X48" t="str">
        <f t="shared" si="3"/>
        <v/>
      </c>
      <c r="Y48" t="str">
        <f t="shared" si="4"/>
        <v/>
      </c>
      <c r="Z48" t="str">
        <f t="shared" si="5"/>
        <v/>
      </c>
    </row>
    <row r="49" spans="15:26" x14ac:dyDescent="0.3">
      <c r="O49" t="str">
        <f ca="1">IFERROR(INDEX(Roll!$C:$C, MATCH(M49, Roll!$B:$B, 0)), "")</f>
        <v/>
      </c>
      <c r="P49" t="str">
        <f t="shared" ref="P49" ca="1" si="77">IF(O49&lt;&gt;"", IFERROR(MODE(O47:O49), O47), "")</f>
        <v/>
      </c>
      <c r="Q49" t="str">
        <f t="shared" si="0"/>
        <v/>
      </c>
      <c r="R49" t="str">
        <f t="shared" si="1"/>
        <v/>
      </c>
      <c r="S49" t="str">
        <f t="shared" si="2"/>
        <v/>
      </c>
      <c r="V49" t="str">
        <f ca="1">IFERROR(INDEX(Roll!$C:$C, MATCH(T49, Roll!$B:$B, 0)), "")</f>
        <v/>
      </c>
      <c r="W49" t="str">
        <f t="shared" ca="1" si="41"/>
        <v/>
      </c>
      <c r="X49" t="str">
        <f t="shared" si="3"/>
        <v/>
      </c>
      <c r="Y49" t="str">
        <f t="shared" si="4"/>
        <v/>
      </c>
      <c r="Z49" t="str">
        <f t="shared" si="5"/>
        <v/>
      </c>
    </row>
    <row r="50" spans="15:26" x14ac:dyDescent="0.3">
      <c r="O50" t="str">
        <f ca="1">IFERROR(INDEX(Roll!$C:$C, MATCH(M50, Roll!$B:$B, 0)), "")</f>
        <v/>
      </c>
      <c r="P50" t="str">
        <f t="shared" ref="P50" ca="1" si="78">IF(O50&lt;&gt;"",IFERROR(MODE(O50:O52), O50), "")</f>
        <v/>
      </c>
      <c r="Q50" t="str">
        <f t="shared" si="0"/>
        <v/>
      </c>
      <c r="R50" t="str">
        <f t="shared" si="1"/>
        <v/>
      </c>
      <c r="S50" t="str">
        <f t="shared" si="2"/>
        <v/>
      </c>
      <c r="V50" t="str">
        <f ca="1">IFERROR(INDEX(Roll!$C:$C, MATCH(T50, Roll!$B:$B, 0)), "")</f>
        <v/>
      </c>
      <c r="W50" t="str">
        <f t="shared" ref="W50" ca="1" si="79">IF(V50&lt;&gt;"",IFERROR(MODE(V50:V52), V50), "")</f>
        <v/>
      </c>
      <c r="X50" t="str">
        <f t="shared" si="3"/>
        <v/>
      </c>
      <c r="Y50" t="str">
        <f t="shared" si="4"/>
        <v/>
      </c>
      <c r="Z50" t="str">
        <f t="shared" si="5"/>
        <v/>
      </c>
    </row>
    <row r="51" spans="15:26" x14ac:dyDescent="0.3">
      <c r="O51" t="str">
        <f ca="1">IFERROR(INDEX(Roll!$C:$C, MATCH(M51, Roll!$B:$B, 0)), "")</f>
        <v/>
      </c>
      <c r="P51" t="str">
        <f t="shared" ref="P51" ca="1" si="80">IF(O51&lt;&gt;"",IFERROR(MODE(O50:O52), O50), "")</f>
        <v/>
      </c>
      <c r="Q51" t="str">
        <f t="shared" si="0"/>
        <v/>
      </c>
      <c r="R51" t="str">
        <f t="shared" si="1"/>
        <v/>
      </c>
      <c r="S51" t="str">
        <f t="shared" si="2"/>
        <v/>
      </c>
      <c r="V51" t="str">
        <f ca="1">IFERROR(INDEX(Roll!$C:$C, MATCH(T51, Roll!$B:$B, 0)), "")</f>
        <v/>
      </c>
      <c r="W51" t="str">
        <f t="shared" ref="W51" ca="1" si="81">IF(V51&lt;&gt;"",IFERROR(MODE(V50:V52), V50), "")</f>
        <v/>
      </c>
      <c r="X51" t="str">
        <f t="shared" si="3"/>
        <v/>
      </c>
      <c r="Y51" t="str">
        <f t="shared" si="4"/>
        <v/>
      </c>
      <c r="Z51" t="str">
        <f t="shared" si="5"/>
        <v/>
      </c>
    </row>
    <row r="52" spans="15:26" x14ac:dyDescent="0.3">
      <c r="O52" t="str">
        <f ca="1">IFERROR(INDEX(Roll!$C:$C, MATCH(M52, Roll!$B:$B, 0)), "")</f>
        <v/>
      </c>
      <c r="P52" t="str">
        <f t="shared" ref="P52" ca="1" si="82">IF(O52&lt;&gt;"",IFERROR(MODE(O50:O52), O50), "")</f>
        <v/>
      </c>
      <c r="Q52" t="str">
        <f t="shared" si="0"/>
        <v/>
      </c>
      <c r="R52" t="str">
        <f t="shared" si="1"/>
        <v/>
      </c>
      <c r="S52" t="str">
        <f t="shared" si="2"/>
        <v/>
      </c>
      <c r="V52" t="str">
        <f ca="1">IFERROR(INDEX(Roll!$C:$C, MATCH(T52, Roll!$B:$B, 0)), "")</f>
        <v/>
      </c>
      <c r="W52" t="str">
        <f t="shared" ref="W52" ca="1" si="83">IF(V52&lt;&gt;"",IFERROR(MODE(V50:V52), V50), "")</f>
        <v/>
      </c>
      <c r="X52" t="str">
        <f t="shared" si="3"/>
        <v/>
      </c>
      <c r="Y52" t="str">
        <f t="shared" si="4"/>
        <v/>
      </c>
      <c r="Z52" t="str">
        <f t="shared" si="5"/>
        <v/>
      </c>
    </row>
    <row r="53" spans="15:26" x14ac:dyDescent="0.3">
      <c r="O53" t="str">
        <f ca="1">IFERROR(INDEX(Roll!$C:$C, MATCH(M53, Roll!$B:$B, 0)), "")</f>
        <v/>
      </c>
      <c r="P53" t="str">
        <f t="shared" ref="P53" ca="1" si="84">IF(O53&lt;&gt;"", IFERROR(MODE(O53:O55), O53), "")</f>
        <v/>
      </c>
      <c r="Q53" t="str">
        <f t="shared" si="0"/>
        <v/>
      </c>
      <c r="R53" t="str">
        <f t="shared" si="1"/>
        <v/>
      </c>
      <c r="S53" t="str">
        <f t="shared" si="2"/>
        <v/>
      </c>
      <c r="V53" t="str">
        <f ca="1">IFERROR(INDEX(Roll!$C:$C, MATCH(T53, Roll!$B:$B, 0)), "")</f>
        <v/>
      </c>
      <c r="W53" t="str">
        <f t="shared" ref="W53" ca="1" si="85">IF(V53&lt;&gt;"", IFERROR(MODE(V53:V55), V53), "")</f>
        <v/>
      </c>
      <c r="X53" t="str">
        <f t="shared" si="3"/>
        <v/>
      </c>
      <c r="Y53" t="str">
        <f t="shared" si="4"/>
        <v/>
      </c>
      <c r="Z53" t="str">
        <f t="shared" si="5"/>
        <v/>
      </c>
    </row>
    <row r="54" spans="15:26" x14ac:dyDescent="0.3">
      <c r="O54" t="str">
        <f ca="1">IFERROR(INDEX(Roll!$C:$C, MATCH(M54, Roll!$B:$B, 0)), "")</f>
        <v/>
      </c>
      <c r="P54" t="str">
        <f t="shared" ref="P54" ca="1" si="86">IF(O54&lt;&gt;"", IFERROR(MODE(O53:O55), O53), "")</f>
        <v/>
      </c>
      <c r="Q54" t="str">
        <f t="shared" si="0"/>
        <v/>
      </c>
      <c r="R54" t="str">
        <f t="shared" si="1"/>
        <v/>
      </c>
      <c r="S54" t="str">
        <f t="shared" si="2"/>
        <v/>
      </c>
      <c r="V54" t="str">
        <f ca="1">IFERROR(INDEX(Roll!$C:$C, MATCH(T54, Roll!$B:$B, 0)), "")</f>
        <v/>
      </c>
      <c r="W54" t="str">
        <f t="shared" ref="W54" ca="1" si="87">IF(V54&lt;&gt;"", IFERROR(MODE(V53:V55), V53), "")</f>
        <v/>
      </c>
      <c r="X54" t="str">
        <f t="shared" si="3"/>
        <v/>
      </c>
      <c r="Y54" t="str">
        <f t="shared" si="4"/>
        <v/>
      </c>
      <c r="Z54" t="str">
        <f t="shared" si="5"/>
        <v/>
      </c>
    </row>
    <row r="55" spans="15:26" x14ac:dyDescent="0.3">
      <c r="O55" t="str">
        <f ca="1">IFERROR(INDEX(Roll!$C:$C, MATCH(M55, Roll!$B:$B, 0)), "")</f>
        <v/>
      </c>
      <c r="P55" t="str">
        <f t="shared" ref="P55" ca="1" si="88">IF(O55&lt;&gt;"", IFERROR(MODE(O53:O55), O53), "")</f>
        <v/>
      </c>
      <c r="Q55" t="str">
        <f t="shared" si="0"/>
        <v/>
      </c>
      <c r="R55" t="str">
        <f t="shared" si="1"/>
        <v/>
      </c>
      <c r="S55" t="str">
        <f t="shared" si="2"/>
        <v/>
      </c>
      <c r="V55" t="str">
        <f ca="1">IFERROR(INDEX(Roll!$C:$C, MATCH(T55, Roll!$B:$B, 0)), "")</f>
        <v/>
      </c>
      <c r="W55" t="str">
        <f t="shared" ref="W55" ca="1" si="89">IF(V55&lt;&gt;"", IFERROR(MODE(V53:V55), V53), "")</f>
        <v/>
      </c>
      <c r="X55" t="str">
        <f t="shared" si="3"/>
        <v/>
      </c>
      <c r="Y55" t="str">
        <f t="shared" si="4"/>
        <v/>
      </c>
      <c r="Z55" t="str">
        <f t="shared" si="5"/>
        <v/>
      </c>
    </row>
    <row r="56" spans="15:26" x14ac:dyDescent="0.3">
      <c r="O56" t="str">
        <f ca="1">IFERROR(INDEX(Roll!$C:$C, MATCH(M56, Roll!$B:$B, 0)), "")</f>
        <v/>
      </c>
      <c r="P56" t="str">
        <f t="shared" ref="P56" ca="1" si="90">IF(O56&lt;&gt;"",IFERROR(MODE(O56:O58), O56), "")</f>
        <v/>
      </c>
      <c r="Q56" t="str">
        <f t="shared" si="0"/>
        <v/>
      </c>
      <c r="R56" t="str">
        <f t="shared" si="1"/>
        <v/>
      </c>
      <c r="S56" t="str">
        <f t="shared" si="2"/>
        <v/>
      </c>
      <c r="V56" t="str">
        <f ca="1">IFERROR(INDEX(Roll!$C:$C, MATCH(T56, Roll!$B:$B, 0)), "")</f>
        <v/>
      </c>
      <c r="W56" t="str">
        <f t="shared" ca="1" si="31"/>
        <v/>
      </c>
      <c r="X56" t="str">
        <f t="shared" si="3"/>
        <v/>
      </c>
      <c r="Y56" t="str">
        <f t="shared" si="4"/>
        <v/>
      </c>
      <c r="Z56" t="str">
        <f t="shared" si="5"/>
        <v/>
      </c>
    </row>
    <row r="57" spans="15:26" x14ac:dyDescent="0.3">
      <c r="O57" t="str">
        <f ca="1">IFERROR(INDEX(Roll!$C:$C, MATCH(M57, Roll!$B:$B, 0)), "")</f>
        <v/>
      </c>
      <c r="P57" t="str">
        <f t="shared" ref="P57" ca="1" si="91">IF(O57&lt;&gt;"",IFERROR(MODE(O56:O58), O56), "")</f>
        <v/>
      </c>
      <c r="Q57" t="str">
        <f t="shared" si="0"/>
        <v/>
      </c>
      <c r="R57" t="str">
        <f t="shared" si="1"/>
        <v/>
      </c>
      <c r="S57" t="str">
        <f t="shared" si="2"/>
        <v/>
      </c>
      <c r="V57" t="str">
        <f ca="1">IFERROR(INDEX(Roll!$C:$C, MATCH(T57, Roll!$B:$B, 0)), "")</f>
        <v/>
      </c>
      <c r="W57" t="str">
        <f t="shared" ca="1" si="33"/>
        <v/>
      </c>
      <c r="X57" t="str">
        <f t="shared" si="3"/>
        <v/>
      </c>
      <c r="Y57" t="str">
        <f t="shared" si="4"/>
        <v/>
      </c>
      <c r="Z57" t="str">
        <f t="shared" si="5"/>
        <v/>
      </c>
    </row>
    <row r="58" spans="15:26" x14ac:dyDescent="0.3">
      <c r="O58" t="str">
        <f ca="1">IFERROR(INDEX(Roll!$C:$C, MATCH(M58, Roll!$B:$B, 0)), "")</f>
        <v/>
      </c>
      <c r="P58" t="str">
        <f t="shared" ref="P58" ca="1" si="92">IF(O58&lt;&gt;"",IFERROR(MODE(O56:O58), O56), "")</f>
        <v/>
      </c>
      <c r="Q58" t="str">
        <f t="shared" si="0"/>
        <v/>
      </c>
      <c r="R58" t="str">
        <f t="shared" si="1"/>
        <v/>
      </c>
      <c r="S58" t="str">
        <f t="shared" si="2"/>
        <v/>
      </c>
      <c r="V58" t="str">
        <f ca="1">IFERROR(INDEX(Roll!$C:$C, MATCH(T58, Roll!$B:$B, 0)), "")</f>
        <v/>
      </c>
      <c r="W58" t="str">
        <f t="shared" ca="1" si="35"/>
        <v/>
      </c>
      <c r="X58" t="str">
        <f t="shared" si="3"/>
        <v/>
      </c>
      <c r="Y58" t="str">
        <f t="shared" si="4"/>
        <v/>
      </c>
      <c r="Z58" t="str">
        <f t="shared" si="5"/>
        <v/>
      </c>
    </row>
    <row r="59" spans="15:26" x14ac:dyDescent="0.3">
      <c r="O59" t="str">
        <f ca="1">IFERROR(INDEX(Roll!$C:$C, MATCH(M59, Roll!$B:$B, 0)), "")</f>
        <v/>
      </c>
      <c r="P59" t="str">
        <f t="shared" ref="P59" ca="1" si="93">IF(O59&lt;&gt;"", IFERROR(MODE(O59:O61), O59), "")</f>
        <v/>
      </c>
      <c r="Q59" t="str">
        <f t="shared" si="0"/>
        <v/>
      </c>
      <c r="R59" t="str">
        <f t="shared" si="1"/>
        <v/>
      </c>
      <c r="S59" t="str">
        <f t="shared" si="2"/>
        <v/>
      </c>
      <c r="V59" t="str">
        <f ca="1">IFERROR(INDEX(Roll!$C:$C, MATCH(T59, Roll!$B:$B, 0)), "")</f>
        <v/>
      </c>
      <c r="W59" t="str">
        <f t="shared" ca="1" si="37"/>
        <v/>
      </c>
      <c r="X59" t="str">
        <f t="shared" si="3"/>
        <v/>
      </c>
      <c r="Y59" t="str">
        <f t="shared" si="4"/>
        <v/>
      </c>
      <c r="Z59" t="str">
        <f t="shared" si="5"/>
        <v/>
      </c>
    </row>
    <row r="60" spans="15:26" x14ac:dyDescent="0.3">
      <c r="O60" t="str">
        <f ca="1">IFERROR(INDEX(Roll!$C:$C, MATCH(M60, Roll!$B:$B, 0)), "")</f>
        <v/>
      </c>
      <c r="P60" t="str">
        <f t="shared" ref="P60" ca="1" si="94">IF(O60&lt;&gt;"", IFERROR(MODE(O59:O61), O59), "")</f>
        <v/>
      </c>
      <c r="Q60" t="str">
        <f t="shared" si="0"/>
        <v/>
      </c>
      <c r="R60" t="str">
        <f t="shared" si="1"/>
        <v/>
      </c>
      <c r="S60" t="str">
        <f t="shared" si="2"/>
        <v/>
      </c>
      <c r="V60" t="str">
        <f ca="1">IFERROR(INDEX(Roll!$C:$C, MATCH(T60, Roll!$B:$B, 0)), "")</f>
        <v/>
      </c>
      <c r="W60" t="str">
        <f t="shared" ca="1" si="39"/>
        <v/>
      </c>
      <c r="X60" t="str">
        <f t="shared" si="3"/>
        <v/>
      </c>
      <c r="Y60" t="str">
        <f t="shared" si="4"/>
        <v/>
      </c>
      <c r="Z60" t="str">
        <f t="shared" si="5"/>
        <v/>
      </c>
    </row>
    <row r="61" spans="15:26" x14ac:dyDescent="0.3">
      <c r="O61" t="str">
        <f ca="1">IFERROR(INDEX(Roll!$C:$C, MATCH(M61, Roll!$B:$B, 0)), "")</f>
        <v/>
      </c>
      <c r="V61" t="str">
        <f ca="1">IFERROR(INDEX(Roll!$C:$C, MATCH(T61, Roll!$B:$B, 0)), "")</f>
        <v/>
      </c>
    </row>
    <row r="62" spans="15:26" x14ac:dyDescent="0.3">
      <c r="O62" t="str">
        <f ca="1">IFERROR(INDEX(Roll!$C:$C, MATCH(M62, Roll!$B:$B, 0)), "")</f>
        <v/>
      </c>
      <c r="V62" t="str">
        <f ca="1">IFERROR(INDEX(Roll!$C:$C, MATCH(T62, Roll!$B:$B, 0)), "")</f>
        <v/>
      </c>
    </row>
    <row r="63" spans="15:26" x14ac:dyDescent="0.3">
      <c r="O63" t="str">
        <f ca="1">IFERROR(INDEX(Roll!$C:$C, MATCH(M63, Roll!$B:$B, 0)), "")</f>
        <v/>
      </c>
      <c r="V63" t="str">
        <f ca="1">IFERROR(INDEX(Roll!$C:$C, MATCH(T63, Roll!$B:$B, 0)), "")</f>
        <v/>
      </c>
    </row>
    <row r="64" spans="15:26" x14ac:dyDescent="0.3">
      <c r="O64" t="str">
        <f ca="1">IFERROR(INDEX(Roll!$C:$C, MATCH(M64, Roll!$B:$B, 0)), "")</f>
        <v/>
      </c>
      <c r="V64" t="str">
        <f ca="1">IFERROR(INDEX(Roll!$C:$C, MATCH(T64, Roll!$B:$B, 0)), "")</f>
        <v/>
      </c>
    </row>
    <row r="65" spans="15:22" x14ac:dyDescent="0.3">
      <c r="O65" t="str">
        <f ca="1">IFERROR(INDEX(Roll!$C:$C, MATCH(M65, Roll!$B:$B, 0)), "")</f>
        <v/>
      </c>
      <c r="V65" t="str">
        <f ca="1">IFERROR(INDEX(Roll!$C:$C, MATCH(T65, Roll!$B:$B, 0)), "")</f>
        <v/>
      </c>
    </row>
    <row r="66" spans="15:22" x14ac:dyDescent="0.3">
      <c r="O66" t="str">
        <f ca="1">IFERROR(INDEX(Roll!$C:$C, MATCH(M66, Roll!$B:$B, 0)), "")</f>
        <v/>
      </c>
      <c r="V66" t="str">
        <f ca="1">IFERROR(INDEX(Roll!$C:$C, MATCH(T66, Roll!$B:$B, 0)), "")</f>
        <v/>
      </c>
    </row>
    <row r="67" spans="15:22" x14ac:dyDescent="0.3">
      <c r="O67" t="str">
        <f ca="1">IFERROR(INDEX(Roll!$C:$C, MATCH(M67, Roll!$B:$B, 0)), "")</f>
        <v/>
      </c>
      <c r="V67" t="str">
        <f ca="1">IFERROR(INDEX(Roll!$C:$C, MATCH(T67, Roll!$B:$B, 0)), "")</f>
        <v/>
      </c>
    </row>
    <row r="68" spans="15:22" x14ac:dyDescent="0.3">
      <c r="O68" t="str">
        <f ca="1">IFERROR(INDEX(Roll!$C:$C, MATCH(M68, Roll!$B:$B, 0)), "")</f>
        <v/>
      </c>
      <c r="V68" t="str">
        <f ca="1">IFERROR(INDEX(Roll!$C:$C, MATCH(T68, Roll!$B:$B, 0)), "")</f>
        <v/>
      </c>
    </row>
    <row r="69" spans="15:22" x14ac:dyDescent="0.3">
      <c r="O69" t="str">
        <f ca="1">IFERROR(INDEX(Roll!$C:$C, MATCH(M69, Roll!$B:$B, 0)), "")</f>
        <v/>
      </c>
      <c r="V69" t="str">
        <f ca="1">IFERROR(INDEX(Roll!$C:$C, MATCH(T69, Roll!$B:$B, 0)), "")</f>
        <v/>
      </c>
    </row>
    <row r="70" spans="15:22" x14ac:dyDescent="0.3">
      <c r="O70" t="str">
        <f ca="1">IFERROR(INDEX(Roll!$C:$C, MATCH(M70, Roll!$B:$B, 0)), "")</f>
        <v/>
      </c>
      <c r="V70" t="str">
        <f ca="1">IFERROR(INDEX(Roll!$C:$C, MATCH(T70, Roll!$B:$B, 0)), "")</f>
        <v/>
      </c>
    </row>
    <row r="71" spans="15:22" x14ac:dyDescent="0.3">
      <c r="O71" t="str">
        <f ca="1">IFERROR(INDEX(Roll!$C:$C, MATCH(M71, Roll!$B:$B, 0)), "")</f>
        <v/>
      </c>
      <c r="V71" t="str">
        <f ca="1">IFERROR(INDEX(Roll!$C:$C, MATCH(T71, Roll!$B:$B, 0)), "")</f>
        <v/>
      </c>
    </row>
    <row r="72" spans="15:22" x14ac:dyDescent="0.3">
      <c r="O72" t="str">
        <f ca="1">IFERROR(INDEX(Roll!$C:$C, MATCH(M72, Roll!$B:$B, 0)), "")</f>
        <v/>
      </c>
      <c r="V72" t="str">
        <f ca="1">IFERROR(INDEX(Roll!$C:$C, MATCH(T72, Roll!$B:$B, 0)), "")</f>
        <v/>
      </c>
    </row>
    <row r="73" spans="15:22" x14ac:dyDescent="0.3">
      <c r="O73" t="str">
        <f ca="1">IFERROR(INDEX(Roll!$C:$C, MATCH(M73, Roll!$B:$B, 0)), "")</f>
        <v/>
      </c>
      <c r="V73" t="str">
        <f ca="1">IFERROR(INDEX(Roll!$C:$C, MATCH(T73, Roll!$B:$B, 0)), "")</f>
        <v/>
      </c>
    </row>
    <row r="74" spans="15:22" x14ac:dyDescent="0.3">
      <c r="O74" t="str">
        <f ca="1">IFERROR(INDEX(Roll!$C:$C, MATCH(M74, Roll!$B:$B, 0)), "")</f>
        <v/>
      </c>
      <c r="V74" t="str">
        <f ca="1">IFERROR(INDEX(Roll!$C:$C, MATCH(T74, Roll!$B:$B, 0)), "")</f>
        <v/>
      </c>
    </row>
    <row r="75" spans="15:22" x14ac:dyDescent="0.3">
      <c r="O75" t="str">
        <f ca="1">IFERROR(INDEX(Roll!$C:$C, MATCH(M75, Roll!$B:$B, 0)), "")</f>
        <v/>
      </c>
      <c r="V75" t="str">
        <f ca="1">IFERROR(INDEX(Roll!$C:$C, MATCH(T75, Roll!$B:$B, 0)), "")</f>
        <v/>
      </c>
    </row>
    <row r="76" spans="15:22" x14ac:dyDescent="0.3">
      <c r="O76" t="str">
        <f ca="1">IFERROR(INDEX(Roll!$C:$C, MATCH(M76, Roll!$B:$B, 0)), "")</f>
        <v/>
      </c>
      <c r="V76" t="str">
        <f ca="1">IFERROR(INDEX(Roll!$C:$C, MATCH(T76, Roll!$B:$B, 0)), "")</f>
        <v/>
      </c>
    </row>
    <row r="77" spans="15:22" x14ac:dyDescent="0.3">
      <c r="O77" t="str">
        <f ca="1">IFERROR(INDEX(Roll!$C:$C, MATCH(M77, Roll!$B:$B, 0)), "")</f>
        <v/>
      </c>
      <c r="V77" t="str">
        <f ca="1">IFERROR(INDEX(Roll!$C:$C, MATCH(T77, Roll!$B:$B, 0)), "")</f>
        <v/>
      </c>
    </row>
    <row r="78" spans="15:22" x14ac:dyDescent="0.3">
      <c r="O78" t="str">
        <f ca="1">IFERROR(INDEX(Roll!$C:$C, MATCH(M78, Roll!$B:$B, 0)), "")</f>
        <v/>
      </c>
      <c r="V78" t="str">
        <f ca="1">IFERROR(INDEX(Roll!$C:$C, MATCH(T78, Roll!$B:$B, 0)), "")</f>
        <v/>
      </c>
    </row>
    <row r="79" spans="15:22" x14ac:dyDescent="0.3">
      <c r="O79" t="str">
        <f ca="1">IFERROR(INDEX(Roll!$C:$C, MATCH(M79, Roll!$B:$B, 0)), "")</f>
        <v/>
      </c>
      <c r="V79" t="str">
        <f ca="1">IFERROR(INDEX(Roll!$C:$C, MATCH(T79, Roll!$B:$B, 0)), "")</f>
        <v/>
      </c>
    </row>
    <row r="80" spans="15:22" x14ac:dyDescent="0.3">
      <c r="O80" t="str">
        <f ca="1">IFERROR(INDEX(Roll!$C:$C, MATCH(M80, Roll!$B:$B, 0)), "")</f>
        <v/>
      </c>
      <c r="V80" t="str">
        <f ca="1">IFERROR(INDEX(Roll!$C:$C, MATCH(T80, Roll!$B:$B, 0)), "")</f>
        <v/>
      </c>
    </row>
    <row r="81" spans="15:22" x14ac:dyDescent="0.3">
      <c r="O81" t="str">
        <f ca="1">IFERROR(INDEX(Roll!$C:$C, MATCH(M81, Roll!$B:$B, 0)), "")</f>
        <v/>
      </c>
      <c r="V81" t="str">
        <f ca="1">IFERROR(INDEX(Roll!$C:$C, MATCH(T81, Roll!$B:$B, 0)), "")</f>
        <v/>
      </c>
    </row>
    <row r="82" spans="15:22" x14ac:dyDescent="0.3">
      <c r="O82" t="str">
        <f ca="1">IFERROR(INDEX(Roll!$C:$C, MATCH(M82, Roll!$B:$B, 0)), "")</f>
        <v/>
      </c>
      <c r="V82" t="str">
        <f ca="1">IFERROR(INDEX(Roll!$C:$C, MATCH(T82, Roll!$B:$B, 0)), "")</f>
        <v/>
      </c>
    </row>
    <row r="83" spans="15:22" x14ac:dyDescent="0.3">
      <c r="O83" t="str">
        <f ca="1">IFERROR(INDEX(Roll!$C:$C, MATCH(M83, Roll!$B:$B, 0)), "")</f>
        <v/>
      </c>
      <c r="V83" t="str">
        <f ca="1">IFERROR(INDEX(Roll!$C:$C, MATCH(T83, Roll!$B:$B, 0)), "")</f>
        <v/>
      </c>
    </row>
    <row r="84" spans="15:22" x14ac:dyDescent="0.3">
      <c r="O84" t="str">
        <f ca="1">IFERROR(INDEX(Roll!$C:$C, MATCH(M84, Roll!$B:$B, 0)), "")</f>
        <v/>
      </c>
      <c r="V84" t="str">
        <f ca="1">IFERROR(INDEX(Roll!$C:$C, MATCH(T84, Roll!$B:$B, 0)), "")</f>
        <v/>
      </c>
    </row>
    <row r="85" spans="15:22" x14ac:dyDescent="0.3">
      <c r="O85" t="str">
        <f ca="1">IFERROR(INDEX(Roll!$C:$C, MATCH(M85, Roll!$B:$B, 0)), "")</f>
        <v/>
      </c>
      <c r="V85" t="str">
        <f ca="1">IFERROR(INDEX(Roll!$C:$C, MATCH(T85, Roll!$B:$B, 0)), "")</f>
        <v/>
      </c>
    </row>
    <row r="86" spans="15:22" x14ac:dyDescent="0.3">
      <c r="O86" t="str">
        <f ca="1">IFERROR(INDEX(Roll!$C:$C, MATCH(M86, Roll!$B:$B, 0)), "")</f>
        <v/>
      </c>
      <c r="V86" t="str">
        <f ca="1">IFERROR(INDEX(Roll!$C:$C, MATCH(T86, Roll!$B:$B, 0)), "")</f>
        <v/>
      </c>
    </row>
    <row r="87" spans="15:22" x14ac:dyDescent="0.3">
      <c r="O87" t="str">
        <f ca="1">IFERROR(INDEX(Roll!$C:$C, MATCH(M87, Roll!$B:$B, 0)), "")</f>
        <v/>
      </c>
      <c r="V87" t="str">
        <f ca="1">IFERROR(INDEX(Roll!$C:$C, MATCH(T87, Roll!$B:$B, 0)), "")</f>
        <v/>
      </c>
    </row>
    <row r="88" spans="15:22" x14ac:dyDescent="0.3">
      <c r="O88" t="str">
        <f ca="1">IFERROR(INDEX(Roll!$C:$C, MATCH(M88, Roll!$B:$B, 0)), "")</f>
        <v/>
      </c>
      <c r="V88" t="str">
        <f ca="1">IFERROR(INDEX(Roll!$C:$C, MATCH(T88, Roll!$B:$B, 0)), "")</f>
        <v/>
      </c>
    </row>
    <row r="89" spans="15:22" x14ac:dyDescent="0.3">
      <c r="O89" t="str">
        <f ca="1">IFERROR(INDEX(Roll!$C:$C, MATCH(M89, Roll!$B:$B, 0)), "")</f>
        <v/>
      </c>
      <c r="V89" t="str">
        <f ca="1">IFERROR(INDEX(Roll!$C:$C, MATCH(T89, Roll!$B:$B, 0)), "")</f>
        <v/>
      </c>
    </row>
    <row r="90" spans="15:22" x14ac:dyDescent="0.3">
      <c r="O90" t="str">
        <f ca="1">IFERROR(INDEX(Roll!$C:$C, MATCH(M90, Roll!$B:$B, 0)), "")</f>
        <v/>
      </c>
      <c r="V90" t="str">
        <f ca="1">IFERROR(INDEX(Roll!$C:$C, MATCH(T90, Roll!$B:$B, 0)), "")</f>
        <v/>
      </c>
    </row>
    <row r="91" spans="15:22" x14ac:dyDescent="0.3">
      <c r="O91" t="str">
        <f ca="1">IFERROR(INDEX(Roll!$C:$C, MATCH(M91, Roll!$B:$B, 0)), "")</f>
        <v/>
      </c>
      <c r="V91" t="str">
        <f ca="1">IFERROR(INDEX(Roll!$C:$C, MATCH(T91, Roll!$B:$B, 0)), "")</f>
        <v/>
      </c>
    </row>
    <row r="92" spans="15:22" x14ac:dyDescent="0.3">
      <c r="O92" t="str">
        <f ca="1">IFERROR(INDEX(Roll!$C:$C, MATCH(M92, Roll!$B:$B, 0)), "")</f>
        <v/>
      </c>
      <c r="V92" t="str">
        <f ca="1">IFERROR(INDEX(Roll!$C:$C, MATCH(T92, Roll!$B:$B, 0)), "")</f>
        <v/>
      </c>
    </row>
    <row r="93" spans="15:22" x14ac:dyDescent="0.3">
      <c r="O93" t="str">
        <f ca="1">IFERROR(INDEX(Roll!$C:$C, MATCH(M93, Roll!$B:$B, 0)), "")</f>
        <v/>
      </c>
      <c r="V93" t="str">
        <f ca="1">IFERROR(INDEX(Roll!$C:$C, MATCH(T93, Roll!$B:$B, 0)), "")</f>
        <v/>
      </c>
    </row>
    <row r="94" spans="15:22" x14ac:dyDescent="0.3">
      <c r="O94" t="str">
        <f ca="1">IFERROR(INDEX(Roll!$C:$C, MATCH(M94, Roll!$B:$B, 0)), "")</f>
        <v/>
      </c>
      <c r="V94" t="str">
        <f ca="1">IFERROR(INDEX(Roll!$C:$C, MATCH(T94, Roll!$B:$B, 0)), "")</f>
        <v/>
      </c>
    </row>
    <row r="95" spans="15:22" x14ac:dyDescent="0.3">
      <c r="O95" t="str">
        <f ca="1">IFERROR(INDEX(Roll!$C:$C, MATCH(M95, Roll!$B:$B, 0)), "")</f>
        <v/>
      </c>
      <c r="V95" t="str">
        <f ca="1">IFERROR(INDEX(Roll!$C:$C, MATCH(T95, Roll!$B:$B, 0)), "")</f>
        <v/>
      </c>
    </row>
    <row r="96" spans="15:22" x14ac:dyDescent="0.3">
      <c r="O96" t="str">
        <f ca="1">IFERROR(INDEX(Roll!$C:$C, MATCH(M96, Roll!$B:$B, 0)), "")</f>
        <v/>
      </c>
      <c r="V96" t="str">
        <f ca="1">IFERROR(INDEX(Roll!$C:$C, MATCH(T96, Roll!$B:$B, 0)), "")</f>
        <v/>
      </c>
    </row>
    <row r="97" spans="15:22" x14ac:dyDescent="0.3">
      <c r="O97" t="str">
        <f ca="1">IFERROR(INDEX(Roll!$C:$C, MATCH(M97, Roll!$B:$B, 0)), "")</f>
        <v/>
      </c>
      <c r="V97" t="str">
        <f ca="1">IFERROR(INDEX(Roll!$C:$C, MATCH(T97, Roll!$B:$B, 0)), "")</f>
        <v/>
      </c>
    </row>
    <row r="98" spans="15:22" x14ac:dyDescent="0.3">
      <c r="O98" t="str">
        <f ca="1">IFERROR(INDEX(Roll!$C:$C, MATCH(M98, Roll!$B:$B, 0)), "")</f>
        <v/>
      </c>
      <c r="V98" t="str">
        <f ca="1">IFERROR(INDEX(Roll!$C:$C, MATCH(T98, Roll!$B:$B, 0)), "")</f>
        <v/>
      </c>
    </row>
    <row r="99" spans="15:22" x14ac:dyDescent="0.3">
      <c r="O99" t="str">
        <f ca="1">IFERROR(INDEX(Roll!$C:$C, MATCH(M99, Roll!$B:$B, 0)), "")</f>
        <v/>
      </c>
      <c r="V99" t="str">
        <f ca="1">IFERROR(INDEX(Roll!$C:$C, MATCH(T99, Roll!$B:$B, 0)), "")</f>
        <v/>
      </c>
    </row>
    <row r="100" spans="15:22" x14ac:dyDescent="0.3">
      <c r="O100" t="str">
        <f ca="1">IFERROR(INDEX(Roll!$C:$C, MATCH(M100, Roll!$B:$B, 0)), "")</f>
        <v/>
      </c>
      <c r="V100" t="str">
        <f ca="1">IFERROR(INDEX(Roll!$C:$C, MATCH(T100, Roll!$B:$B, 0)), "")</f>
        <v/>
      </c>
    </row>
    <row r="101" spans="15:22" x14ac:dyDescent="0.3">
      <c r="O101" t="str">
        <f ca="1">IFERROR(INDEX(Roll!$C:$C, MATCH(M101, Roll!$B:$B, 0)), "")</f>
        <v/>
      </c>
      <c r="V101" t="str">
        <f ca="1">IFERROR(INDEX(Roll!$C:$C, MATCH(T101, Roll!$B:$B, 0)), "")</f>
        <v/>
      </c>
    </row>
    <row r="102" spans="15:22" x14ac:dyDescent="0.3">
      <c r="O102" t="str">
        <f ca="1">IFERROR(INDEX(Roll!$C:$C, MATCH(M102, Roll!$B:$B, 0)), "")</f>
        <v/>
      </c>
      <c r="V102" t="str">
        <f ca="1">IFERROR(INDEX(Roll!$C:$C, MATCH(T102, Roll!$B:$B, 0)), "")</f>
        <v/>
      </c>
    </row>
    <row r="103" spans="15:22" x14ac:dyDescent="0.3">
      <c r="O103" t="str">
        <f ca="1">IFERROR(INDEX(Roll!$C:$C, MATCH(M103, Roll!$B:$B, 0)), "")</f>
        <v/>
      </c>
      <c r="V103" t="str">
        <f ca="1">IFERROR(INDEX(Roll!$C:$C, MATCH(T103, Roll!$B:$B, 0)), "")</f>
        <v/>
      </c>
    </row>
    <row r="104" spans="15:22" x14ac:dyDescent="0.3">
      <c r="O104" t="str">
        <f ca="1">IFERROR(INDEX(Roll!$C:$C, MATCH(M104, Roll!$B:$B, 0)), "")</f>
        <v/>
      </c>
      <c r="V104" t="str">
        <f ca="1">IFERROR(INDEX(Roll!$C:$C, MATCH(T104, Roll!$B:$B, 0)), "")</f>
        <v/>
      </c>
    </row>
    <row r="105" spans="15:22" x14ac:dyDescent="0.3">
      <c r="O105" t="str">
        <f ca="1">IFERROR(INDEX(Roll!$C:$C, MATCH(M105, Roll!$B:$B, 0)), "")</f>
        <v/>
      </c>
      <c r="V105" t="str">
        <f ca="1">IFERROR(INDEX(Roll!$C:$C, MATCH(T105, Roll!$B:$B, 0)), "")</f>
        <v/>
      </c>
    </row>
    <row r="106" spans="15:22" x14ac:dyDescent="0.3">
      <c r="O106" t="str">
        <f ca="1">IFERROR(INDEX(Roll!$C:$C, MATCH(M106, Roll!$B:$B, 0)), "")</f>
        <v/>
      </c>
      <c r="V106" t="str">
        <f ca="1">IFERROR(INDEX(Roll!$C:$C, MATCH(T106, Roll!$B:$B, 0)), "")</f>
        <v/>
      </c>
    </row>
    <row r="107" spans="15:22" x14ac:dyDescent="0.3">
      <c r="O107" t="str">
        <f ca="1">IFERROR(INDEX(Roll!$C:$C, MATCH(M107, Roll!$B:$B, 0)), "")</f>
        <v/>
      </c>
      <c r="V107" t="str">
        <f ca="1">IFERROR(INDEX(Roll!$C:$C, MATCH(T107, Roll!$B:$B, 0)), "")</f>
        <v/>
      </c>
    </row>
    <row r="108" spans="15:22" x14ac:dyDescent="0.3">
      <c r="O108" t="str">
        <f ca="1">IFERROR(INDEX(Roll!$C:$C, MATCH(M108, Roll!$B:$B, 0)), "")</f>
        <v/>
      </c>
      <c r="V108" t="str">
        <f ca="1">IFERROR(INDEX(Roll!$C:$C, MATCH(T108, Roll!$B:$B, 0)), "")</f>
        <v/>
      </c>
    </row>
    <row r="109" spans="15:22" x14ac:dyDescent="0.3">
      <c r="O109" t="str">
        <f ca="1">IFERROR(INDEX(Roll!$C:$C, MATCH(M109, Roll!$B:$B, 0)), "")</f>
        <v/>
      </c>
      <c r="V109" t="str">
        <f ca="1">IFERROR(INDEX(Roll!$C:$C, MATCH(T109, Roll!$B:$B, 0)), "")</f>
        <v/>
      </c>
    </row>
    <row r="110" spans="15:22" x14ac:dyDescent="0.3">
      <c r="O110" t="str">
        <f ca="1">IFERROR(INDEX(Roll!$C:$C, MATCH(M110, Roll!$B:$B, 0)), "")</f>
        <v/>
      </c>
      <c r="V110" t="str">
        <f ca="1">IFERROR(INDEX(Roll!$C:$C, MATCH(T110, Roll!$B:$B, 0)), "")</f>
        <v/>
      </c>
    </row>
    <row r="111" spans="15:22" x14ac:dyDescent="0.3">
      <c r="O111" t="str">
        <f ca="1">IFERROR(INDEX(Roll!$C:$C, MATCH(M111, Roll!$B:$B, 0)), "")</f>
        <v/>
      </c>
      <c r="V111" t="str">
        <f ca="1">IFERROR(INDEX(Roll!$C:$C, MATCH(T111, Roll!$B:$B, 0)), "")</f>
        <v/>
      </c>
    </row>
    <row r="112" spans="15:22" x14ac:dyDescent="0.3">
      <c r="O112" t="str">
        <f ca="1">IFERROR(INDEX(Roll!$C:$C, MATCH(M112, Roll!$B:$B, 0)), "")</f>
        <v/>
      </c>
      <c r="V112" t="str">
        <f ca="1">IFERROR(INDEX(Roll!$C:$C, MATCH(T112, Roll!$B:$B, 0)), "")</f>
        <v/>
      </c>
    </row>
    <row r="113" spans="15:22" x14ac:dyDescent="0.3">
      <c r="O113" t="str">
        <f ca="1">IFERROR(INDEX(Roll!$C:$C, MATCH(M113, Roll!$B:$B, 0)), "")</f>
        <v/>
      </c>
      <c r="V113" t="str">
        <f ca="1">IFERROR(INDEX(Roll!$C:$C, MATCH(T113, Roll!$B:$B, 0)), "")</f>
        <v/>
      </c>
    </row>
    <row r="114" spans="15:22" x14ac:dyDescent="0.3">
      <c r="O114" t="str">
        <f ca="1">IFERROR(INDEX(Roll!$C:$C, MATCH(M114, Roll!$B:$B, 0)), "")</f>
        <v/>
      </c>
      <c r="V114" t="str">
        <f ca="1">IFERROR(INDEX(Roll!$C:$C, MATCH(T114, Roll!$B:$B, 0)), "")</f>
        <v/>
      </c>
    </row>
    <row r="115" spans="15:22" x14ac:dyDescent="0.3">
      <c r="O115" t="str">
        <f ca="1">IFERROR(INDEX(Roll!$C:$C, MATCH(M115, Roll!$B:$B, 0)), "")</f>
        <v/>
      </c>
      <c r="V115" t="str">
        <f ca="1">IFERROR(INDEX(Roll!$C:$C, MATCH(T115, Roll!$B:$B, 0)), "")</f>
        <v/>
      </c>
    </row>
    <row r="116" spans="15:22" x14ac:dyDescent="0.3">
      <c r="O116" t="str">
        <f ca="1">IFERROR(INDEX(Roll!$C:$C, MATCH(M116, Roll!$B:$B, 0)), "")</f>
        <v/>
      </c>
      <c r="V116" t="str">
        <f ca="1">IFERROR(INDEX(Roll!$C:$C, MATCH(T116, Roll!$B:$B, 0)), "")</f>
        <v/>
      </c>
    </row>
    <row r="117" spans="15:22" x14ac:dyDescent="0.3">
      <c r="O117" t="str">
        <f ca="1">IFERROR(INDEX(Roll!$C:$C, MATCH(M117, Roll!$B:$B, 0)), "")</f>
        <v/>
      </c>
      <c r="V117" t="str">
        <f ca="1">IFERROR(INDEX(Roll!$C:$C, MATCH(T117, Roll!$B:$B, 0)), "")</f>
        <v/>
      </c>
    </row>
    <row r="118" spans="15:22" x14ac:dyDescent="0.3">
      <c r="O118" t="str">
        <f ca="1">IFERROR(INDEX(Roll!$C:$C, MATCH(M118, Roll!$B:$B, 0)), "")</f>
        <v/>
      </c>
      <c r="V118" t="str">
        <f ca="1">IFERROR(INDEX(Roll!$C:$C, MATCH(T118, Roll!$B:$B, 0)), "")</f>
        <v/>
      </c>
    </row>
    <row r="119" spans="15:22" x14ac:dyDescent="0.3">
      <c r="O119" t="str">
        <f ca="1">IFERROR(INDEX(Roll!$C:$C, MATCH(M119, Roll!$B:$B, 0)), "")</f>
        <v/>
      </c>
      <c r="V119" t="str">
        <f ca="1">IFERROR(INDEX(Roll!$C:$C, MATCH(T119, Roll!$B:$B, 0)), "")</f>
        <v/>
      </c>
    </row>
    <row r="120" spans="15:22" x14ac:dyDescent="0.3">
      <c r="O120" t="str">
        <f ca="1">IFERROR(INDEX(Roll!$C:$C, MATCH(M120, Roll!$B:$B, 0)), "")</f>
        <v/>
      </c>
      <c r="V120" t="str">
        <f ca="1">IFERROR(INDEX(Roll!$C:$C, MATCH(T120, Roll!$B:$B, 0)), "")</f>
        <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E0E0A-3FDE-4DAB-BEF0-D8B833472753}">
  <sheetPr codeName="Sheet11"/>
  <dimension ref="A1:T120"/>
  <sheetViews>
    <sheetView topLeftCell="H1" workbookViewId="0">
      <selection activeCell="R2" sqref="R2"/>
    </sheetView>
  </sheetViews>
  <sheetFormatPr defaultRowHeight="14.4" x14ac:dyDescent="0.3"/>
  <cols>
    <col min="1" max="1" width="17.77734375" bestFit="1" customWidth="1"/>
    <col min="2" max="2" width="5.44140625" bestFit="1" customWidth="1"/>
    <col min="3" max="7" width="12.77734375" bestFit="1" customWidth="1"/>
    <col min="8" max="8" width="12.5546875" bestFit="1" customWidth="1"/>
    <col min="9" max="9" width="10.21875" bestFit="1" customWidth="1"/>
    <col min="11" max="11" width="17.77734375" bestFit="1" customWidth="1"/>
    <col min="12" max="12" width="5.44140625" bestFit="1" customWidth="1"/>
    <col min="13" max="17" width="12.77734375" bestFit="1" customWidth="1"/>
    <col min="18" max="18" width="12.5546875" bestFit="1" customWidth="1"/>
    <col min="19" max="19" width="10.21875" bestFit="1" customWidth="1"/>
  </cols>
  <sheetData>
    <row r="1" spans="1:20" x14ac:dyDescent="0.3">
      <c r="A1" s="6" t="s">
        <v>33</v>
      </c>
      <c r="B1" s="6" t="s">
        <v>20</v>
      </c>
      <c r="C1" s="6" t="s">
        <v>43</v>
      </c>
      <c r="D1" s="6" t="s">
        <v>44</v>
      </c>
      <c r="E1" s="6" t="s">
        <v>45</v>
      </c>
      <c r="F1" s="6" t="s">
        <v>46</v>
      </c>
      <c r="G1" s="6" t="s">
        <v>47</v>
      </c>
      <c r="H1" s="6" t="s">
        <v>61</v>
      </c>
      <c r="I1" s="6" t="s">
        <v>48</v>
      </c>
      <c r="J1" s="6" t="s">
        <v>41</v>
      </c>
      <c r="K1" s="6" t="s">
        <v>33</v>
      </c>
      <c r="L1" s="6" t="s">
        <v>20</v>
      </c>
      <c r="M1" s="6" t="s">
        <v>43</v>
      </c>
      <c r="N1" s="6" t="s">
        <v>44</v>
      </c>
      <c r="O1" s="6" t="s">
        <v>45</v>
      </c>
      <c r="P1" s="6" t="s">
        <v>46</v>
      </c>
      <c r="Q1" s="6" t="s">
        <v>47</v>
      </c>
      <c r="R1" s="6" t="s">
        <v>61</v>
      </c>
      <c r="S1" s="6" t="s">
        <v>48</v>
      </c>
      <c r="T1" s="6" t="s">
        <v>41</v>
      </c>
    </row>
    <row r="2" spans="1:20" x14ac:dyDescent="0.3">
      <c r="A2" t="str" cm="1">
        <f t="array" aca="1" ref="A2:B36" ca="1">_xlfn._xlws.FILTER(Roll!B:C, (ROW(A:A)&gt;1)*(Roll!B:B&lt;&gt;""))</f>
        <v>Yifan Sun</v>
      </c>
      <c r="B2">
        <f ca="1"/>
        <v>1</v>
      </c>
      <c r="C2" cm="1">
        <f t="array" aca="1" ref="C2:C36" ca="1">_xlfn.BYROW(_xlfn.ANCHORARRAY(A2), _xlfn.LAMBDA(_xlpm.x, IFERROR(INDEX('Round 1 Working'!AC:AC, MATCH(INDEX(_xlpm.x, 1), 'Round 1 Working'!AB:AB, 0)), "")))</f>
        <v>75</v>
      </c>
      <c r="D2" s="13" cm="1">
        <f t="array" aca="1" ref="D2:D36" ca="1">_xlfn.BYROW(_xlfn.ANCHORARRAY(A2), _xlfn.LAMBDA(_xlpm.x, IFERROR(INDEX('Round 2 Working'!AC:AC, MATCH(INDEX(_xlpm.x, 1), 'Round 2 Working'!AB:AB, 0)), "")))</f>
        <v>75</v>
      </c>
      <c r="E2" t="str" cm="1">
        <f t="array" aca="1" ref="E2:E36" ca="1">_xlfn.BYROW(_xlfn.ANCHORARRAY(A2), _xlfn.LAMBDA(_xlpm.x, IFERROR(INDEX('Round 3 Working'!AC:AC, MATCH(INDEX(_xlpm.x, 1), 'Round 3 Working'!AB:AB, 0)), "")))</f>
        <v/>
      </c>
      <c r="F2" t="str" cm="1">
        <f t="array" aca="1" ref="F2:F36" ca="1">_xlfn.BYROW(_xlfn.ANCHORARRAY(A2), _xlfn.LAMBDA(_xlpm.x, IFERROR(INDEX('Round 4 Working'!AC:AC, MATCH(INDEX(_xlpm.x, 1), 'Round 4 Working'!AB:AB, 0)), "")))</f>
        <v/>
      </c>
      <c r="G2" t="str" cm="1">
        <f t="array" aca="1" ref="G2:G36" ca="1">_xlfn.BYROW(_xlfn.ANCHORARRAY(A2), _xlfn.LAMBDA(_xlpm.x, IFERROR(INDEX('Round 5 Working'!AC:AC, MATCH(INDEX(_xlpm.x, 1), 'Round 5 Working'!AB:AB, 0)), "")))</f>
        <v/>
      </c>
      <c r="H2" t="str" cm="1">
        <f t="array" aca="1" ref="H2:H36" ca="1">_xlfn.BYROW(_xlfn.ANCHORARRAY(A2), _xlfn.LAMBDA(_xlpm.x, IFERROR(INDEX('Round 6 Working'!AC:AC, MATCH(INDEX(_xlpm.x, 1), 'Round 6 Working'!AB:AB, 0)), "")))</f>
        <v/>
      </c>
      <c r="I2" cm="1">
        <f t="array" aca="1" ref="I2:I36" ca="1">_xlfn.BYROW(_xlfn.ANCHORARRAY(A2), _xlfn.LAMBDA(_xlpm.x, IFERROR(AVERAGE(OFFSET(INDEX(_xlpm.x, 1), 0, 2, 1, 6)), 0)))</f>
        <v>75</v>
      </c>
      <c r="J2" cm="1">
        <f t="array" aca="1" ref="J2:J36" ca="1">_xlfn.BYROW(_xlfn.ANCHORARRAY(A2), _xlfn.LAMBDA(_xlpm.x, IFERROR(SUM(OFFSET(INDEX(_xlpm.x, 1), 0, 2, 1, 6)), 0)))</f>
        <v>150</v>
      </c>
      <c r="K2" t="str" cm="1">
        <f t="array" aca="1" ref="K2:T36" ca="1">_xlfn.SORTBY(_xlfn.ANCHORARRAY(A2):_xlfn.ANCHORARRAY(C2):_xlfn.ANCHORARRAY(D2):_xlfn.ANCHORARRAY(E2):_xlfn.ANCHORARRAY(F2):_xlfn.ANCHORARRAY(G2):_xlfn.ANCHORARRAY(H2):_xlfn.ANCHORARRAY(I2):_xlfn.ANCHORARRAY(J2),_xlfn.ANCHORARRAY( I2), -1,_xlfn.ANCHORARRAY( J2), -1)</f>
        <v>Oliver Kleinig</v>
      </c>
      <c r="L2">
        <f ca="1"/>
        <v>10</v>
      </c>
      <c r="M2">
        <f ca="1"/>
        <v>77</v>
      </c>
      <c r="N2">
        <f ca="1"/>
        <v>77</v>
      </c>
      <c r="O2" t="str">
        <f ca="1"/>
        <v/>
      </c>
      <c r="P2" t="str">
        <f ca="1"/>
        <v/>
      </c>
      <c r="Q2" t="str">
        <f ca="1"/>
        <v/>
      </c>
      <c r="R2" t="str">
        <f ca="1"/>
        <v/>
      </c>
      <c r="S2">
        <f ca="1"/>
        <v>77</v>
      </c>
      <c r="T2">
        <f ca="1"/>
        <v>154</v>
      </c>
    </row>
    <row r="3" spans="1:20" x14ac:dyDescent="0.3">
      <c r="A3" t="str">
        <f ca="1"/>
        <v>Shengyin Bai</v>
      </c>
      <c r="B3">
        <f ca="1"/>
        <v>1</v>
      </c>
      <c r="C3">
        <f ca="1"/>
        <v>74</v>
      </c>
      <c r="D3" s="13">
        <f ca="1"/>
        <v>75</v>
      </c>
      <c r="E3" t="str">
        <f ca="1"/>
        <v/>
      </c>
      <c r="F3" t="str">
        <f ca="1"/>
        <v/>
      </c>
      <c r="G3" t="str">
        <f ca="1"/>
        <v/>
      </c>
      <c r="H3" t="str">
        <f ca="1"/>
        <v/>
      </c>
      <c r="I3">
        <f ca="1"/>
        <v>74.5</v>
      </c>
      <c r="J3">
        <f ca="1"/>
        <v>149</v>
      </c>
      <c r="K3" t="str">
        <f ca="1"/>
        <v> Silas Hansch-Maher</v>
      </c>
      <c r="L3">
        <f ca="1"/>
        <v>10</v>
      </c>
      <c r="M3">
        <f ca="1"/>
        <v>77</v>
      </c>
      <c r="N3">
        <f ca="1"/>
        <v>77</v>
      </c>
      <c r="O3" t="str">
        <f ca="1"/>
        <v/>
      </c>
      <c r="P3" t="str">
        <f ca="1"/>
        <v/>
      </c>
      <c r="Q3" t="str">
        <f ca="1"/>
        <v/>
      </c>
      <c r="R3" t="str">
        <f ca="1"/>
        <v/>
      </c>
      <c r="S3">
        <f ca="1"/>
        <v>77</v>
      </c>
      <c r="T3">
        <f ca="1"/>
        <v>154</v>
      </c>
    </row>
    <row r="4" spans="1:20" x14ac:dyDescent="0.3">
      <c r="A4" t="str">
        <f ca="1"/>
        <v>Yifei Wang</v>
      </c>
      <c r="B4">
        <f ca="1"/>
        <v>1</v>
      </c>
      <c r="C4" t="str">
        <f ca="1"/>
        <v/>
      </c>
      <c r="D4" s="13">
        <f ca="1"/>
        <v>75</v>
      </c>
      <c r="E4" t="str">
        <f ca="1"/>
        <v/>
      </c>
      <c r="F4" t="str">
        <f ca="1"/>
        <v/>
      </c>
      <c r="G4" t="str">
        <f ca="1"/>
        <v/>
      </c>
      <c r="H4" t="str">
        <f ca="1"/>
        <v/>
      </c>
      <c r="I4">
        <f ca="1"/>
        <v>75</v>
      </c>
      <c r="J4">
        <f ca="1"/>
        <v>75</v>
      </c>
      <c r="K4" t="str">
        <f ca="1"/>
        <v>Syme Aftab</v>
      </c>
      <c r="L4">
        <f ca="1"/>
        <v>8</v>
      </c>
      <c r="M4">
        <f ca="1"/>
        <v>77</v>
      </c>
      <c r="N4">
        <f ca="1"/>
        <v>76</v>
      </c>
      <c r="O4" t="str">
        <f ca="1"/>
        <v/>
      </c>
      <c r="P4" t="str">
        <f ca="1"/>
        <v/>
      </c>
      <c r="Q4" t="str">
        <f ca="1"/>
        <v/>
      </c>
      <c r="R4" t="str">
        <f ca="1"/>
        <v/>
      </c>
      <c r="S4">
        <f ca="1"/>
        <v>76.5</v>
      </c>
      <c r="T4">
        <f ca="1"/>
        <v>153</v>
      </c>
    </row>
    <row r="5" spans="1:20" x14ac:dyDescent="0.3">
      <c r="A5" t="str">
        <f ca="1"/>
        <v>Chengdong Wu</v>
      </c>
      <c r="B5">
        <f ca="1"/>
        <v>1</v>
      </c>
      <c r="C5">
        <f ca="1"/>
        <v>72</v>
      </c>
      <c r="D5" s="13" t="str">
        <f ca="1"/>
        <v/>
      </c>
      <c r="E5" t="str">
        <f ca="1"/>
        <v/>
      </c>
      <c r="F5" t="str">
        <f ca="1"/>
        <v/>
      </c>
      <c r="G5" t="str">
        <f ca="1"/>
        <v/>
      </c>
      <c r="H5" t="str">
        <f ca="1"/>
        <v/>
      </c>
      <c r="I5">
        <f ca="1"/>
        <v>72</v>
      </c>
      <c r="J5">
        <f ca="1"/>
        <v>72</v>
      </c>
      <c r="K5" t="str">
        <f ca="1"/>
        <v>Laura Wright</v>
      </c>
      <c r="L5">
        <f ca="1"/>
        <v>4</v>
      </c>
      <c r="M5">
        <f ca="1"/>
        <v>76</v>
      </c>
      <c r="N5">
        <f ca="1"/>
        <v>76</v>
      </c>
      <c r="O5" t="str">
        <f ca="1"/>
        <v/>
      </c>
      <c r="P5" t="str">
        <f ca="1"/>
        <v/>
      </c>
      <c r="Q5" t="str">
        <f ca="1"/>
        <v/>
      </c>
      <c r="R5" t="str">
        <f ca="1"/>
        <v/>
      </c>
      <c r="S5">
        <f ca="1"/>
        <v>76</v>
      </c>
      <c r="T5">
        <f ca="1"/>
        <v>152</v>
      </c>
    </row>
    <row r="6" spans="1:20" x14ac:dyDescent="0.3">
      <c r="A6" t="str">
        <f ca="1"/>
        <v>Harry Elliott</v>
      </c>
      <c r="B6">
        <f ca="1"/>
        <v>2</v>
      </c>
      <c r="C6">
        <f ca="1"/>
        <v>75</v>
      </c>
      <c r="D6" s="13">
        <f ca="1"/>
        <v>74</v>
      </c>
      <c r="E6" t="str">
        <f ca="1"/>
        <v/>
      </c>
      <c r="F6" t="str">
        <f ca="1"/>
        <v/>
      </c>
      <c r="G6" t="str">
        <f ca="1"/>
        <v/>
      </c>
      <c r="H6" t="str">
        <f ca="1"/>
        <v/>
      </c>
      <c r="I6">
        <f ca="1"/>
        <v>74.5</v>
      </c>
      <c r="J6">
        <f ca="1"/>
        <v>149</v>
      </c>
      <c r="K6" t="str">
        <f ca="1"/>
        <v>Jess Zhang</v>
      </c>
      <c r="L6">
        <f ca="1"/>
        <v>10</v>
      </c>
      <c r="M6">
        <f ca="1"/>
        <v>76</v>
      </c>
      <c r="N6">
        <f ca="1"/>
        <v>76</v>
      </c>
      <c r="O6" t="str">
        <f ca="1"/>
        <v/>
      </c>
      <c r="P6" t="str">
        <f ca="1"/>
        <v/>
      </c>
      <c r="Q6" t="str">
        <f ca="1"/>
        <v/>
      </c>
      <c r="R6" t="str">
        <f ca="1"/>
        <v/>
      </c>
      <c r="S6">
        <f ca="1"/>
        <v>76</v>
      </c>
      <c r="T6">
        <f ca="1"/>
        <v>152</v>
      </c>
    </row>
    <row r="7" spans="1:20" x14ac:dyDescent="0.3">
      <c r="A7" t="str">
        <f ca="1"/>
        <v>Sam Button</v>
      </c>
      <c r="B7">
        <f ca="1"/>
        <v>2</v>
      </c>
      <c r="C7">
        <f ca="1"/>
        <v>77</v>
      </c>
      <c r="D7" s="13">
        <f ca="1"/>
        <v>74</v>
      </c>
      <c r="E7" t="str">
        <f ca="1"/>
        <v/>
      </c>
      <c r="F7" t="str">
        <f ca="1"/>
        <v/>
      </c>
      <c r="G7" t="str">
        <f ca="1"/>
        <v/>
      </c>
      <c r="H7" t="str">
        <f ca="1"/>
        <v/>
      </c>
      <c r="I7">
        <f ca="1"/>
        <v>75.5</v>
      </c>
      <c r="J7">
        <f ca="1"/>
        <v>151</v>
      </c>
      <c r="K7" t="str">
        <f ca="1"/>
        <v>Sophia Figueroa</v>
      </c>
      <c r="L7">
        <f ca="1"/>
        <v>5</v>
      </c>
      <c r="M7">
        <f ca="1"/>
        <v>76</v>
      </c>
      <c r="N7" t="str">
        <f ca="1"/>
        <v/>
      </c>
      <c r="O7" t="str">
        <f ca="1"/>
        <v/>
      </c>
      <c r="P7" t="str">
        <f ca="1"/>
        <v/>
      </c>
      <c r="Q7" t="str">
        <f ca="1"/>
        <v/>
      </c>
      <c r="R7" t="str">
        <f ca="1"/>
        <v/>
      </c>
      <c r="S7">
        <f ca="1"/>
        <v>76</v>
      </c>
      <c r="T7">
        <f ca="1"/>
        <v>76</v>
      </c>
    </row>
    <row r="8" spans="1:20" x14ac:dyDescent="0.3">
      <c r="A8" t="str">
        <f ca="1"/>
        <v>Oliver Hooper</v>
      </c>
      <c r="B8">
        <f ca="1"/>
        <v>2</v>
      </c>
      <c r="C8">
        <f ca="1"/>
        <v>75</v>
      </c>
      <c r="D8" s="13">
        <f ca="1"/>
        <v>73</v>
      </c>
      <c r="E8" t="str">
        <f ca="1"/>
        <v/>
      </c>
      <c r="F8" t="str">
        <f ca="1"/>
        <v/>
      </c>
      <c r="G8" t="str">
        <f ca="1"/>
        <v/>
      </c>
      <c r="H8" t="str">
        <f ca="1"/>
        <v/>
      </c>
      <c r="I8">
        <f ca="1"/>
        <v>74</v>
      </c>
      <c r="J8">
        <f ca="1"/>
        <v>148</v>
      </c>
      <c r="K8" t="str">
        <f ca="1"/>
        <v>Isabella Teague</v>
      </c>
      <c r="L8">
        <f ca="1"/>
        <v>8</v>
      </c>
      <c r="M8" t="str">
        <f ca="1"/>
        <v/>
      </c>
      <c r="N8">
        <f ca="1"/>
        <v>76</v>
      </c>
      <c r="O8" t="str">
        <f ca="1"/>
        <v/>
      </c>
      <c r="P8" t="str">
        <f ca="1"/>
        <v/>
      </c>
      <c r="Q8" t="str">
        <f ca="1"/>
        <v/>
      </c>
      <c r="R8" t="str">
        <f ca="1"/>
        <v/>
      </c>
      <c r="S8">
        <f ca="1"/>
        <v>76</v>
      </c>
      <c r="T8">
        <f ca="1"/>
        <v>76</v>
      </c>
    </row>
    <row r="9" spans="1:20" x14ac:dyDescent="0.3">
      <c r="A9" t="str">
        <f ca="1"/>
        <v>Amy Zander</v>
      </c>
      <c r="B9">
        <f ca="1"/>
        <v>3</v>
      </c>
      <c r="C9">
        <f ca="1"/>
        <v>75</v>
      </c>
      <c r="D9" s="13">
        <f ca="1"/>
        <v>75</v>
      </c>
      <c r="E9" t="str">
        <f ca="1"/>
        <v/>
      </c>
      <c r="F9" t="str">
        <f ca="1"/>
        <v/>
      </c>
      <c r="G9" t="str">
        <f ca="1"/>
        <v/>
      </c>
      <c r="H9" t="str">
        <f ca="1"/>
        <v/>
      </c>
      <c r="I9">
        <f ca="1"/>
        <v>75</v>
      </c>
      <c r="J9">
        <f ca="1"/>
        <v>150</v>
      </c>
      <c r="K9" t="str">
        <f ca="1"/>
        <v>Sam Button</v>
      </c>
      <c r="L9">
        <f ca="1"/>
        <v>2</v>
      </c>
      <c r="M9">
        <f ca="1"/>
        <v>77</v>
      </c>
      <c r="N9">
        <f ca="1"/>
        <v>74</v>
      </c>
      <c r="O9" t="str">
        <f ca="1"/>
        <v/>
      </c>
      <c r="P9" t="str">
        <f ca="1"/>
        <v/>
      </c>
      <c r="Q9" t="str">
        <f ca="1"/>
        <v/>
      </c>
      <c r="R9" t="str">
        <f ca="1"/>
        <v/>
      </c>
      <c r="S9">
        <f ca="1"/>
        <v>75.5</v>
      </c>
      <c r="T9">
        <f ca="1"/>
        <v>151</v>
      </c>
    </row>
    <row r="10" spans="1:20" x14ac:dyDescent="0.3">
      <c r="A10" t="str">
        <f ca="1"/>
        <v>Roan Bird</v>
      </c>
      <c r="B10">
        <f ca="1"/>
        <v>3</v>
      </c>
      <c r="C10">
        <f ca="1"/>
        <v>75</v>
      </c>
      <c r="D10" s="13">
        <f ca="1"/>
        <v>75</v>
      </c>
      <c r="E10" t="str">
        <f ca="1"/>
        <v/>
      </c>
      <c r="F10" t="str">
        <f ca="1"/>
        <v/>
      </c>
      <c r="G10" t="str">
        <f ca="1"/>
        <v/>
      </c>
      <c r="H10" t="str">
        <f ca="1"/>
        <v/>
      </c>
      <c r="I10">
        <f ca="1"/>
        <v>75</v>
      </c>
      <c r="J10">
        <f ca="1"/>
        <v>150</v>
      </c>
      <c r="K10" t="str">
        <f ca="1"/>
        <v>Bede Hansch-Maher</v>
      </c>
      <c r="L10">
        <f ca="1"/>
        <v>4</v>
      </c>
      <c r="M10">
        <f ca="1"/>
        <v>76</v>
      </c>
      <c r="N10">
        <f ca="1"/>
        <v>75</v>
      </c>
      <c r="O10" t="str">
        <f ca="1"/>
        <v/>
      </c>
      <c r="P10" t="str">
        <f ca="1"/>
        <v/>
      </c>
      <c r="Q10" t="str">
        <f ca="1"/>
        <v/>
      </c>
      <c r="R10" t="str">
        <f ca="1"/>
        <v/>
      </c>
      <c r="S10">
        <f ca="1"/>
        <v>75.5</v>
      </c>
      <c r="T10">
        <f ca="1"/>
        <v>151</v>
      </c>
    </row>
    <row r="11" spans="1:20" x14ac:dyDescent="0.3">
      <c r="A11" t="str">
        <f ca="1"/>
        <v>Colette Le</v>
      </c>
      <c r="B11">
        <f ca="1"/>
        <v>3</v>
      </c>
      <c r="C11" t="str">
        <f ca="1"/>
        <v/>
      </c>
      <c r="D11" s="13" t="str">
        <f ca="1"/>
        <v/>
      </c>
      <c r="E11" t="str">
        <f ca="1"/>
        <v/>
      </c>
      <c r="F11" t="str">
        <f ca="1"/>
        <v/>
      </c>
      <c r="G11" t="str">
        <f ca="1"/>
        <v/>
      </c>
      <c r="H11" t="str">
        <f ca="1"/>
        <v/>
      </c>
      <c r="I11">
        <f ca="1"/>
        <v>0</v>
      </c>
      <c r="J11">
        <f ca="1"/>
        <v>0</v>
      </c>
      <c r="K11" t="str">
        <f ca="1"/>
        <v>Yifan Sun</v>
      </c>
      <c r="L11">
        <f ca="1"/>
        <v>1</v>
      </c>
      <c r="M11">
        <f ca="1"/>
        <v>75</v>
      </c>
      <c r="N11">
        <f ca="1"/>
        <v>75</v>
      </c>
      <c r="O11" t="str">
        <f ca="1"/>
        <v/>
      </c>
      <c r="P11" t="str">
        <f ca="1"/>
        <v/>
      </c>
      <c r="Q11" t="str">
        <f ca="1"/>
        <v/>
      </c>
      <c r="R11" t="str">
        <f ca="1"/>
        <v/>
      </c>
      <c r="S11">
        <f ca="1"/>
        <v>75</v>
      </c>
      <c r="T11">
        <f ca="1"/>
        <v>150</v>
      </c>
    </row>
    <row r="12" spans="1:20" x14ac:dyDescent="0.3">
      <c r="A12" t="str">
        <f ca="1"/>
        <v>Bede Hansch-Maher</v>
      </c>
      <c r="B12">
        <f ca="1"/>
        <v>4</v>
      </c>
      <c r="C12">
        <f ca="1"/>
        <v>76</v>
      </c>
      <c r="D12" s="13">
        <f ca="1"/>
        <v>75</v>
      </c>
      <c r="E12" t="str">
        <f ca="1"/>
        <v/>
      </c>
      <c r="F12" t="str">
        <f ca="1"/>
        <v/>
      </c>
      <c r="G12" t="str">
        <f ca="1"/>
        <v/>
      </c>
      <c r="H12" t="str">
        <f ca="1"/>
        <v/>
      </c>
      <c r="I12">
        <f ca="1"/>
        <v>75.5</v>
      </c>
      <c r="J12">
        <f ca="1"/>
        <v>151</v>
      </c>
      <c r="K12" t="str">
        <f ca="1"/>
        <v>Amy Zander</v>
      </c>
      <c r="L12">
        <f ca="1"/>
        <v>3</v>
      </c>
      <c r="M12">
        <f ca="1"/>
        <v>75</v>
      </c>
      <c r="N12">
        <f ca="1"/>
        <v>75</v>
      </c>
      <c r="O12" t="str">
        <f ca="1"/>
        <v/>
      </c>
      <c r="P12" t="str">
        <f ca="1"/>
        <v/>
      </c>
      <c r="Q12" t="str">
        <f ca="1"/>
        <v/>
      </c>
      <c r="R12" t="str">
        <f ca="1"/>
        <v/>
      </c>
      <c r="S12">
        <f ca="1"/>
        <v>75</v>
      </c>
      <c r="T12">
        <f ca="1"/>
        <v>150</v>
      </c>
    </row>
    <row r="13" spans="1:20" x14ac:dyDescent="0.3">
      <c r="A13" t="str">
        <f ca="1"/>
        <v>Laura Wright</v>
      </c>
      <c r="B13">
        <f ca="1"/>
        <v>4</v>
      </c>
      <c r="C13">
        <f ca="1"/>
        <v>76</v>
      </c>
      <c r="D13" s="13">
        <f ca="1"/>
        <v>76</v>
      </c>
      <c r="E13" t="str">
        <f ca="1"/>
        <v/>
      </c>
      <c r="F13" t="str">
        <f ca="1"/>
        <v/>
      </c>
      <c r="G13" t="str">
        <f ca="1"/>
        <v/>
      </c>
      <c r="H13" t="str">
        <f ca="1"/>
        <v/>
      </c>
      <c r="I13">
        <f ca="1"/>
        <v>76</v>
      </c>
      <c r="J13">
        <f ca="1"/>
        <v>152</v>
      </c>
      <c r="K13" t="str">
        <f ca="1"/>
        <v>Roan Bird</v>
      </c>
      <c r="L13">
        <f ca="1"/>
        <v>3</v>
      </c>
      <c r="M13">
        <f ca="1"/>
        <v>75</v>
      </c>
      <c r="N13">
        <f ca="1"/>
        <v>75</v>
      </c>
      <c r="O13" t="str">
        <f ca="1"/>
        <v/>
      </c>
      <c r="P13" t="str">
        <f ca="1"/>
        <v/>
      </c>
      <c r="Q13" t="str">
        <f ca="1"/>
        <v/>
      </c>
      <c r="R13" t="str">
        <f ca="1"/>
        <v/>
      </c>
      <c r="S13">
        <f ca="1"/>
        <v>75</v>
      </c>
      <c r="T13">
        <f ca="1"/>
        <v>150</v>
      </c>
    </row>
    <row r="14" spans="1:20" x14ac:dyDescent="0.3">
      <c r="A14" t="str">
        <f ca="1"/>
        <v>Theodore Lysaght</v>
      </c>
      <c r="B14">
        <f ca="1"/>
        <v>4</v>
      </c>
      <c r="C14">
        <f ca="1"/>
        <v>75</v>
      </c>
      <c r="D14" s="13">
        <f ca="1"/>
        <v>74</v>
      </c>
      <c r="E14" t="str">
        <f ca="1"/>
        <v/>
      </c>
      <c r="F14" t="str">
        <f ca="1"/>
        <v/>
      </c>
      <c r="G14" t="str">
        <f ca="1"/>
        <v/>
      </c>
      <c r="H14" t="str">
        <f ca="1"/>
        <v/>
      </c>
      <c r="I14">
        <f ca="1"/>
        <v>74.5</v>
      </c>
      <c r="J14">
        <f ca="1"/>
        <v>149</v>
      </c>
      <c r="K14" t="str">
        <f ca="1"/>
        <v>Ava Stewart</v>
      </c>
      <c r="L14">
        <f ca="1"/>
        <v>7</v>
      </c>
      <c r="M14">
        <f ca="1"/>
        <v>75</v>
      </c>
      <c r="N14">
        <f ca="1"/>
        <v>75</v>
      </c>
      <c r="O14" t="str">
        <f ca="1"/>
        <v/>
      </c>
      <c r="P14" t="str">
        <f ca="1"/>
        <v/>
      </c>
      <c r="Q14" t="str">
        <f ca="1"/>
        <v/>
      </c>
      <c r="R14" t="str">
        <f ca="1"/>
        <v/>
      </c>
      <c r="S14">
        <f ca="1"/>
        <v>75</v>
      </c>
      <c r="T14">
        <f ca="1"/>
        <v>150</v>
      </c>
    </row>
    <row r="15" spans="1:20" x14ac:dyDescent="0.3">
      <c r="A15" t="str">
        <f ca="1"/>
        <v>Sonali Jesudason</v>
      </c>
      <c r="B15">
        <f ca="1"/>
        <v>5</v>
      </c>
      <c r="C15" t="str">
        <f ca="1"/>
        <v/>
      </c>
      <c r="D15" s="13" t="str">
        <f ca="1"/>
        <v/>
      </c>
      <c r="E15" t="str">
        <f ca="1"/>
        <v/>
      </c>
      <c r="F15" t="str">
        <f ca="1"/>
        <v/>
      </c>
      <c r="G15" t="str">
        <f ca="1"/>
        <v/>
      </c>
      <c r="H15" t="str">
        <f ca="1"/>
        <v/>
      </c>
      <c r="I15">
        <f ca="1"/>
        <v>0</v>
      </c>
      <c r="J15">
        <f ca="1"/>
        <v>0</v>
      </c>
      <c r="K15" t="str">
        <f ca="1"/>
        <v>Yifei Wang</v>
      </c>
      <c r="L15">
        <f ca="1"/>
        <v>1</v>
      </c>
      <c r="M15" t="str">
        <f ca="1"/>
        <v/>
      </c>
      <c r="N15">
        <f ca="1"/>
        <v>75</v>
      </c>
      <c r="O15" t="str">
        <f ca="1"/>
        <v/>
      </c>
      <c r="P15" t="str">
        <f ca="1"/>
        <v/>
      </c>
      <c r="Q15" t="str">
        <f ca="1"/>
        <v/>
      </c>
      <c r="R15" t="str">
        <f ca="1"/>
        <v/>
      </c>
      <c r="S15">
        <f ca="1"/>
        <v>75</v>
      </c>
      <c r="T15">
        <f ca="1"/>
        <v>75</v>
      </c>
    </row>
    <row r="16" spans="1:20" x14ac:dyDescent="0.3">
      <c r="A16" t="str">
        <f ca="1"/>
        <v>Eliza Rayner</v>
      </c>
      <c r="B16">
        <f ca="1"/>
        <v>5</v>
      </c>
      <c r="C16">
        <f ca="1"/>
        <v>74</v>
      </c>
      <c r="D16" s="13" t="str">
        <f ca="1"/>
        <v/>
      </c>
      <c r="E16" t="str">
        <f ca="1"/>
        <v/>
      </c>
      <c r="F16" t="str">
        <f ca="1"/>
        <v/>
      </c>
      <c r="G16" t="str">
        <f ca="1"/>
        <v/>
      </c>
      <c r="H16" t="str">
        <f ca="1"/>
        <v/>
      </c>
      <c r="I16">
        <f ca="1"/>
        <v>74</v>
      </c>
      <c r="J16">
        <f ca="1"/>
        <v>74</v>
      </c>
      <c r="K16" t="str">
        <f ca="1"/>
        <v>Seraphina Zhang</v>
      </c>
      <c r="L16">
        <f ca="1"/>
        <v>7</v>
      </c>
      <c r="M16" t="str">
        <f ca="1"/>
        <v/>
      </c>
      <c r="N16">
        <f ca="1"/>
        <v>75</v>
      </c>
      <c r="O16" t="str">
        <f ca="1"/>
        <v/>
      </c>
      <c r="P16" t="str">
        <f ca="1"/>
        <v/>
      </c>
      <c r="Q16" t="str">
        <f ca="1"/>
        <v/>
      </c>
      <c r="R16" t="str">
        <f ca="1"/>
        <v/>
      </c>
      <c r="S16">
        <f ca="1"/>
        <v>75</v>
      </c>
      <c r="T16">
        <f ca="1"/>
        <v>75</v>
      </c>
    </row>
    <row r="17" spans="1:20" x14ac:dyDescent="0.3">
      <c r="A17" t="str">
        <f ca="1"/>
        <v>Sophia Figueroa</v>
      </c>
      <c r="B17">
        <f ca="1"/>
        <v>5</v>
      </c>
      <c r="C17">
        <f ca="1"/>
        <v>76</v>
      </c>
      <c r="D17" s="13" t="str">
        <f ca="1"/>
        <v/>
      </c>
      <c r="E17" t="str">
        <f ca="1"/>
        <v/>
      </c>
      <c r="F17" t="str">
        <f ca="1"/>
        <v/>
      </c>
      <c r="G17" t="str">
        <f ca="1"/>
        <v/>
      </c>
      <c r="H17" t="str">
        <f ca="1"/>
        <v/>
      </c>
      <c r="I17">
        <f ca="1"/>
        <v>76</v>
      </c>
      <c r="J17">
        <f ca="1"/>
        <v>76</v>
      </c>
      <c r="K17" t="str">
        <f ca="1"/>
        <v>Lang Lu</v>
      </c>
      <c r="L17">
        <f ca="1"/>
        <v>9</v>
      </c>
      <c r="M17">
        <f ca="1"/>
        <v>75</v>
      </c>
      <c r="N17" t="str">
        <f ca="1"/>
        <v/>
      </c>
      <c r="O17" t="str">
        <f ca="1"/>
        <v/>
      </c>
      <c r="P17" t="str">
        <f ca="1"/>
        <v/>
      </c>
      <c r="Q17" t="str">
        <f ca="1"/>
        <v/>
      </c>
      <c r="R17" t="str">
        <f ca="1"/>
        <v/>
      </c>
      <c r="S17">
        <f ca="1"/>
        <v>75</v>
      </c>
      <c r="T17">
        <f ca="1"/>
        <v>75</v>
      </c>
    </row>
    <row r="18" spans="1:20" x14ac:dyDescent="0.3">
      <c r="A18" t="str">
        <f ca="1"/>
        <v>Max Stewart</v>
      </c>
      <c r="B18">
        <f ca="1"/>
        <v>6</v>
      </c>
      <c r="C18">
        <f ca="1"/>
        <v>74</v>
      </c>
      <c r="D18" s="13" t="str">
        <f ca="1"/>
        <v/>
      </c>
      <c r="E18" t="str">
        <f ca="1"/>
        <v/>
      </c>
      <c r="F18" t="str">
        <f ca="1"/>
        <v/>
      </c>
      <c r="G18" t="str">
        <f ca="1"/>
        <v/>
      </c>
      <c r="H18" t="str">
        <f ca="1"/>
        <v/>
      </c>
      <c r="I18">
        <f ca="1"/>
        <v>74</v>
      </c>
      <c r="J18">
        <f ca="1"/>
        <v>74</v>
      </c>
      <c r="K18" t="str">
        <f ca="1"/>
        <v>Shengyin Bai</v>
      </c>
      <c r="L18">
        <f ca="1"/>
        <v>1</v>
      </c>
      <c r="M18">
        <f ca="1"/>
        <v>74</v>
      </c>
      <c r="N18">
        <f ca="1"/>
        <v>75</v>
      </c>
      <c r="O18" t="str">
        <f ca="1"/>
        <v/>
      </c>
      <c r="P18" t="str">
        <f ca="1"/>
        <v/>
      </c>
      <c r="Q18" t="str">
        <f ca="1"/>
        <v/>
      </c>
      <c r="R18" t="str">
        <f ca="1"/>
        <v/>
      </c>
      <c r="S18">
        <f ca="1"/>
        <v>74.5</v>
      </c>
      <c r="T18">
        <f ca="1"/>
        <v>149</v>
      </c>
    </row>
    <row r="19" spans="1:20" x14ac:dyDescent="0.3">
      <c r="A19" t="str">
        <f ca="1"/>
        <v>Aaryan Goriyaan</v>
      </c>
      <c r="B19">
        <f ca="1"/>
        <v>6</v>
      </c>
      <c r="C19">
        <f ca="1"/>
        <v>72</v>
      </c>
      <c r="D19" s="13">
        <f ca="1"/>
        <v>71</v>
      </c>
      <c r="E19" t="str">
        <f ca="1"/>
        <v/>
      </c>
      <c r="F19" t="str">
        <f ca="1"/>
        <v/>
      </c>
      <c r="G19" t="str">
        <f ca="1"/>
        <v/>
      </c>
      <c r="H19" t="str">
        <f ca="1"/>
        <v/>
      </c>
      <c r="I19">
        <f ca="1"/>
        <v>71.5</v>
      </c>
      <c r="J19">
        <f ca="1"/>
        <v>143</v>
      </c>
      <c r="K19" t="str">
        <f ca="1"/>
        <v>Harry Elliott</v>
      </c>
      <c r="L19">
        <f ca="1"/>
        <v>2</v>
      </c>
      <c r="M19">
        <f ca="1"/>
        <v>75</v>
      </c>
      <c r="N19">
        <f ca="1"/>
        <v>74</v>
      </c>
      <c r="O19" t="str">
        <f ca="1"/>
        <v/>
      </c>
      <c r="P19" t="str">
        <f ca="1"/>
        <v/>
      </c>
      <c r="Q19" t="str">
        <f ca="1"/>
        <v/>
      </c>
      <c r="R19" t="str">
        <f ca="1"/>
        <v/>
      </c>
      <c r="S19">
        <f ca="1"/>
        <v>74.5</v>
      </c>
      <c r="T19">
        <f ca="1"/>
        <v>149</v>
      </c>
    </row>
    <row r="20" spans="1:20" x14ac:dyDescent="0.3">
      <c r="A20" t="str">
        <f ca="1"/>
        <v>Korou Tonjam</v>
      </c>
      <c r="B20">
        <f ca="1"/>
        <v>6</v>
      </c>
      <c r="C20">
        <f ca="1"/>
        <v>74</v>
      </c>
      <c r="D20" s="13" t="str">
        <f ca="1"/>
        <v/>
      </c>
      <c r="E20" t="str">
        <f ca="1"/>
        <v/>
      </c>
      <c r="F20" t="str">
        <f ca="1"/>
        <v/>
      </c>
      <c r="G20" t="str">
        <f ca="1"/>
        <v/>
      </c>
      <c r="H20" t="str">
        <f ca="1"/>
        <v/>
      </c>
      <c r="I20">
        <f ca="1"/>
        <v>74</v>
      </c>
      <c r="J20">
        <f ca="1"/>
        <v>74</v>
      </c>
      <c r="K20" t="str">
        <f ca="1"/>
        <v>Theodore Lysaght</v>
      </c>
      <c r="L20">
        <f ca="1"/>
        <v>4</v>
      </c>
      <c r="M20">
        <f ca="1"/>
        <v>75</v>
      </c>
      <c r="N20">
        <f ca="1"/>
        <v>74</v>
      </c>
      <c r="O20" t="str">
        <f ca="1"/>
        <v/>
      </c>
      <c r="P20" t="str">
        <f ca="1"/>
        <v/>
      </c>
      <c r="Q20" t="str">
        <f ca="1"/>
        <v/>
      </c>
      <c r="R20" t="str">
        <f ca="1"/>
        <v/>
      </c>
      <c r="S20">
        <f ca="1"/>
        <v>74.5</v>
      </c>
      <c r="T20">
        <f ca="1"/>
        <v>149</v>
      </c>
    </row>
    <row r="21" spans="1:20" x14ac:dyDescent="0.3">
      <c r="A21" t="str">
        <f ca="1"/>
        <v>Ava Stewart</v>
      </c>
      <c r="B21">
        <f ca="1"/>
        <v>7</v>
      </c>
      <c r="C21">
        <f ca="1"/>
        <v>75</v>
      </c>
      <c r="D21" s="13">
        <f ca="1"/>
        <v>75</v>
      </c>
      <c r="E21" t="str">
        <f ca="1"/>
        <v/>
      </c>
      <c r="F21" t="str">
        <f ca="1"/>
        <v/>
      </c>
      <c r="G21" t="str">
        <f ca="1"/>
        <v/>
      </c>
      <c r="H21" t="str">
        <f ca="1"/>
        <v/>
      </c>
      <c r="I21">
        <f ca="1"/>
        <v>75</v>
      </c>
      <c r="J21">
        <f ca="1"/>
        <v>150</v>
      </c>
      <c r="K21" t="str">
        <f ca="1"/>
        <v>Oliver Hooper</v>
      </c>
      <c r="L21">
        <f ca="1"/>
        <v>2</v>
      </c>
      <c r="M21">
        <f ca="1"/>
        <v>75</v>
      </c>
      <c r="N21">
        <f ca="1"/>
        <v>73</v>
      </c>
      <c r="O21" t="str">
        <f ca="1"/>
        <v/>
      </c>
      <c r="P21" t="str">
        <f ca="1"/>
        <v/>
      </c>
      <c r="Q21" t="str">
        <f ca="1"/>
        <v/>
      </c>
      <c r="R21" t="str">
        <f ca="1"/>
        <v/>
      </c>
      <c r="S21">
        <f ca="1"/>
        <v>74</v>
      </c>
      <c r="T21">
        <f ca="1"/>
        <v>148</v>
      </c>
    </row>
    <row r="22" spans="1:20" x14ac:dyDescent="0.3">
      <c r="A22" t="str">
        <f ca="1"/>
        <v>Seraphina Zhang</v>
      </c>
      <c r="B22">
        <f ca="1"/>
        <v>7</v>
      </c>
      <c r="C22" t="str">
        <f ca="1"/>
        <v/>
      </c>
      <c r="D22" s="13">
        <f ca="1"/>
        <v>75</v>
      </c>
      <c r="E22" t="str">
        <f ca="1"/>
        <v/>
      </c>
      <c r="F22" t="str">
        <f ca="1"/>
        <v/>
      </c>
      <c r="G22" t="str">
        <f ca="1"/>
        <v/>
      </c>
      <c r="H22" t="str">
        <f ca="1"/>
        <v/>
      </c>
      <c r="I22">
        <f ca="1"/>
        <v>75</v>
      </c>
      <c r="J22">
        <f ca="1"/>
        <v>75</v>
      </c>
      <c r="K22" t="str">
        <f ca="1"/>
        <v>Kerry Yao</v>
      </c>
      <c r="L22">
        <f ca="1"/>
        <v>11</v>
      </c>
      <c r="M22">
        <f ca="1"/>
        <v>74</v>
      </c>
      <c r="N22">
        <f ca="1"/>
        <v>74</v>
      </c>
      <c r="O22" t="str">
        <f ca="1"/>
        <v/>
      </c>
      <c r="P22" t="str">
        <f ca="1"/>
        <v/>
      </c>
      <c r="Q22" t="str">
        <f ca="1"/>
        <v/>
      </c>
      <c r="R22" t="str">
        <f ca="1"/>
        <v/>
      </c>
      <c r="S22">
        <f ca="1"/>
        <v>74</v>
      </c>
      <c r="T22">
        <f ca="1"/>
        <v>148</v>
      </c>
    </row>
    <row r="23" spans="1:20" x14ac:dyDescent="0.3">
      <c r="A23" t="str">
        <f ca="1"/>
        <v>Emily Lai</v>
      </c>
      <c r="B23">
        <f ca="1"/>
        <v>7</v>
      </c>
      <c r="C23">
        <f ca="1"/>
        <v>73</v>
      </c>
      <c r="D23" s="13" t="str">
        <f ca="1"/>
        <v/>
      </c>
      <c r="E23" t="str">
        <f ca="1"/>
        <v/>
      </c>
      <c r="F23" t="str">
        <f ca="1"/>
        <v/>
      </c>
      <c r="G23" t="str">
        <f ca="1"/>
        <v/>
      </c>
      <c r="H23" t="str">
        <f ca="1"/>
        <v/>
      </c>
      <c r="I23">
        <f ca="1"/>
        <v>73</v>
      </c>
      <c r="J23">
        <f ca="1"/>
        <v>73</v>
      </c>
      <c r="K23" t="str">
        <f ca="1"/>
        <v>Eliza Rayner</v>
      </c>
      <c r="L23">
        <f ca="1"/>
        <v>5</v>
      </c>
      <c r="M23">
        <f ca="1"/>
        <v>74</v>
      </c>
      <c r="N23" t="str">
        <f ca="1"/>
        <v/>
      </c>
      <c r="O23" t="str">
        <f ca="1"/>
        <v/>
      </c>
      <c r="P23" t="str">
        <f ca="1"/>
        <v/>
      </c>
      <c r="Q23" t="str">
        <f ca="1"/>
        <v/>
      </c>
      <c r="R23" t="str">
        <f ca="1"/>
        <v/>
      </c>
      <c r="S23">
        <f ca="1"/>
        <v>74</v>
      </c>
      <c r="T23">
        <f ca="1"/>
        <v>74</v>
      </c>
    </row>
    <row r="24" spans="1:20" x14ac:dyDescent="0.3">
      <c r="A24" t="str">
        <f ca="1"/>
        <v>Isabella Teague</v>
      </c>
      <c r="B24">
        <f ca="1"/>
        <v>8</v>
      </c>
      <c r="C24" t="str">
        <f ca="1"/>
        <v/>
      </c>
      <c r="D24" s="13">
        <f ca="1"/>
        <v>76</v>
      </c>
      <c r="E24" t="str">
        <f ca="1"/>
        <v/>
      </c>
      <c r="F24" t="str">
        <f ca="1"/>
        <v/>
      </c>
      <c r="G24" t="str">
        <f ca="1"/>
        <v/>
      </c>
      <c r="H24" t="str">
        <f ca="1"/>
        <v/>
      </c>
      <c r="I24">
        <f ca="1"/>
        <v>76</v>
      </c>
      <c r="J24">
        <f ca="1"/>
        <v>76</v>
      </c>
      <c r="K24" t="str">
        <f ca="1"/>
        <v>Max Stewart</v>
      </c>
      <c r="L24">
        <f ca="1"/>
        <v>6</v>
      </c>
      <c r="M24">
        <f ca="1"/>
        <v>74</v>
      </c>
      <c r="N24" t="str">
        <f ca="1"/>
        <v/>
      </c>
      <c r="O24" t="str">
        <f ca="1"/>
        <v/>
      </c>
      <c r="P24" t="str">
        <f ca="1"/>
        <v/>
      </c>
      <c r="Q24" t="str">
        <f ca="1"/>
        <v/>
      </c>
      <c r="R24" t="str">
        <f ca="1"/>
        <v/>
      </c>
      <c r="S24">
        <f ca="1"/>
        <v>74</v>
      </c>
      <c r="T24">
        <f ca="1"/>
        <v>74</v>
      </c>
    </row>
    <row r="25" spans="1:20" x14ac:dyDescent="0.3">
      <c r="A25" t="str">
        <f ca="1"/>
        <v>Janice Stanzah</v>
      </c>
      <c r="B25">
        <f ca="1"/>
        <v>8</v>
      </c>
      <c r="C25" t="str">
        <f ca="1"/>
        <v/>
      </c>
      <c r="D25" s="13">
        <f ca="1"/>
        <v>71</v>
      </c>
      <c r="E25" t="str">
        <f ca="1"/>
        <v/>
      </c>
      <c r="F25" t="str">
        <f ca="1"/>
        <v/>
      </c>
      <c r="G25" t="str">
        <f ca="1"/>
        <v/>
      </c>
      <c r="H25" t="str">
        <f ca="1"/>
        <v/>
      </c>
      <c r="I25">
        <f ca="1"/>
        <v>71</v>
      </c>
      <c r="J25">
        <f ca="1"/>
        <v>71</v>
      </c>
      <c r="K25" t="str">
        <f ca="1"/>
        <v>Korou Tonjam</v>
      </c>
      <c r="L25">
        <f ca="1"/>
        <v>6</v>
      </c>
      <c r="M25">
        <f ca="1"/>
        <v>74</v>
      </c>
      <c r="N25" t="str">
        <f ca="1"/>
        <v/>
      </c>
      <c r="O25" t="str">
        <f ca="1"/>
        <v/>
      </c>
      <c r="P25" t="str">
        <f ca="1"/>
        <v/>
      </c>
      <c r="Q25" t="str">
        <f ca="1"/>
        <v/>
      </c>
      <c r="R25" t="str">
        <f ca="1"/>
        <v/>
      </c>
      <c r="S25">
        <f ca="1"/>
        <v>74</v>
      </c>
      <c r="T25">
        <f ca="1"/>
        <v>74</v>
      </c>
    </row>
    <row r="26" spans="1:20" x14ac:dyDescent="0.3">
      <c r="A26" t="str">
        <f ca="1"/>
        <v>Syme Aftab</v>
      </c>
      <c r="B26">
        <f ca="1"/>
        <v>8</v>
      </c>
      <c r="C26">
        <f ca="1"/>
        <v>77</v>
      </c>
      <c r="D26" s="13">
        <f ca="1"/>
        <v>76</v>
      </c>
      <c r="E26" t="str">
        <f ca="1"/>
        <v/>
      </c>
      <c r="F26" t="str">
        <f ca="1"/>
        <v/>
      </c>
      <c r="G26" t="str">
        <f ca="1"/>
        <v/>
      </c>
      <c r="H26" t="str">
        <f ca="1"/>
        <v/>
      </c>
      <c r="I26">
        <f ca="1"/>
        <v>76.5</v>
      </c>
      <c r="J26">
        <f ca="1"/>
        <v>153</v>
      </c>
      <c r="K26" t="str">
        <f ca="1"/>
        <v>Tom Kavanagh</v>
      </c>
      <c r="L26">
        <f ca="1"/>
        <v>9</v>
      </c>
      <c r="M26" t="str">
        <f ca="1"/>
        <v/>
      </c>
      <c r="N26">
        <f ca="1"/>
        <v>74</v>
      </c>
      <c r="O26" t="str">
        <f ca="1"/>
        <v/>
      </c>
      <c r="P26" t="str">
        <f ca="1"/>
        <v/>
      </c>
      <c r="Q26" t="str">
        <f ca="1"/>
        <v/>
      </c>
      <c r="R26" t="str">
        <f ca="1"/>
        <v/>
      </c>
      <c r="S26">
        <f ca="1"/>
        <v>74</v>
      </c>
      <c r="T26">
        <f ca="1"/>
        <v>74</v>
      </c>
    </row>
    <row r="27" spans="1:20" x14ac:dyDescent="0.3">
      <c r="A27" t="str">
        <f ca="1"/>
        <v>Tom Kavanagh</v>
      </c>
      <c r="B27">
        <f ca="1"/>
        <v>9</v>
      </c>
      <c r="C27" t="str">
        <f ca="1"/>
        <v/>
      </c>
      <c r="D27" s="13">
        <f ca="1"/>
        <v>74</v>
      </c>
      <c r="E27" t="str">
        <f ca="1"/>
        <v/>
      </c>
      <c r="F27" t="str">
        <f ca="1"/>
        <v/>
      </c>
      <c r="G27" t="str">
        <f ca="1"/>
        <v/>
      </c>
      <c r="H27" t="str">
        <f ca="1"/>
        <v/>
      </c>
      <c r="I27">
        <f ca="1"/>
        <v>74</v>
      </c>
      <c r="J27">
        <f ca="1"/>
        <v>74</v>
      </c>
      <c r="K27" t="str">
        <f ca="1"/>
        <v>Aadi Malhorta</v>
      </c>
      <c r="L27">
        <f ca="1"/>
        <v>11</v>
      </c>
      <c r="M27">
        <f ca="1"/>
        <v>74</v>
      </c>
      <c r="N27" t="str">
        <f ca="1"/>
        <v/>
      </c>
      <c r="O27" t="str">
        <f ca="1"/>
        <v/>
      </c>
      <c r="P27" t="str">
        <f ca="1"/>
        <v/>
      </c>
      <c r="Q27" t="str">
        <f ca="1"/>
        <v/>
      </c>
      <c r="R27" t="str">
        <f ca="1"/>
        <v/>
      </c>
      <c r="S27">
        <f ca="1"/>
        <v>74</v>
      </c>
      <c r="T27">
        <f ca="1"/>
        <v>74</v>
      </c>
    </row>
    <row r="28" spans="1:20" x14ac:dyDescent="0.3">
      <c r="A28" t="str">
        <f ca="1"/>
        <v>Declan Clarke</v>
      </c>
      <c r="B28">
        <f ca="1"/>
        <v>9</v>
      </c>
      <c r="C28">
        <f ca="1"/>
        <v>74</v>
      </c>
      <c r="D28" s="13">
        <f ca="1"/>
        <v>73</v>
      </c>
      <c r="E28" t="str">
        <f ca="1"/>
        <v/>
      </c>
      <c r="F28" t="str">
        <f ca="1"/>
        <v/>
      </c>
      <c r="G28" t="str">
        <f ca="1"/>
        <v/>
      </c>
      <c r="H28" t="str">
        <f ca="1"/>
        <v/>
      </c>
      <c r="I28">
        <f ca="1"/>
        <v>73.5</v>
      </c>
      <c r="J28">
        <f ca="1"/>
        <v>147</v>
      </c>
      <c r="K28" t="str">
        <f ca="1"/>
        <v>Michael Deng</v>
      </c>
      <c r="L28">
        <f ca="1"/>
        <v>11</v>
      </c>
      <c r="M28">
        <f ca="1"/>
        <v>74</v>
      </c>
      <c r="N28" t="str">
        <f ca="1"/>
        <v/>
      </c>
      <c r="O28" t="str">
        <f ca="1"/>
        <v/>
      </c>
      <c r="P28" t="str">
        <f ca="1"/>
        <v/>
      </c>
      <c r="Q28" t="str">
        <f ca="1"/>
        <v/>
      </c>
      <c r="R28" t="str">
        <f ca="1"/>
        <v/>
      </c>
      <c r="S28">
        <f ca="1"/>
        <v>74</v>
      </c>
      <c r="T28">
        <f ca="1"/>
        <v>74</v>
      </c>
    </row>
    <row r="29" spans="1:20" x14ac:dyDescent="0.3">
      <c r="A29" t="str">
        <f ca="1"/>
        <v>Lang Lu</v>
      </c>
      <c r="B29">
        <f ca="1"/>
        <v>9</v>
      </c>
      <c r="C29">
        <f ca="1"/>
        <v>75</v>
      </c>
      <c r="D29" s="13" t="str">
        <f ca="1"/>
        <v/>
      </c>
      <c r="E29" t="str">
        <f ca="1"/>
        <v/>
      </c>
      <c r="F29" t="str">
        <f ca="1"/>
        <v/>
      </c>
      <c r="G29" t="str">
        <f ca="1"/>
        <v/>
      </c>
      <c r="H29" t="str">
        <f ca="1"/>
        <v/>
      </c>
      <c r="I29">
        <f ca="1"/>
        <v>75</v>
      </c>
      <c r="J29">
        <f ca="1"/>
        <v>75</v>
      </c>
      <c r="K29" t="str">
        <f ca="1"/>
        <v>Declan Clarke</v>
      </c>
      <c r="L29">
        <f ca="1"/>
        <v>9</v>
      </c>
      <c r="M29">
        <f ca="1"/>
        <v>74</v>
      </c>
      <c r="N29">
        <f ca="1"/>
        <v>73</v>
      </c>
      <c r="O29" t="str">
        <f ca="1"/>
        <v/>
      </c>
      <c r="P29" t="str">
        <f ca="1"/>
        <v/>
      </c>
      <c r="Q29" t="str">
        <f ca="1"/>
        <v/>
      </c>
      <c r="R29" t="str">
        <f ca="1"/>
        <v/>
      </c>
      <c r="S29">
        <f ca="1"/>
        <v>73.5</v>
      </c>
      <c r="T29">
        <f ca="1"/>
        <v>147</v>
      </c>
    </row>
    <row r="30" spans="1:20" x14ac:dyDescent="0.3">
      <c r="A30" t="str">
        <f ca="1"/>
        <v>Jess Zhang</v>
      </c>
      <c r="B30">
        <f ca="1"/>
        <v>10</v>
      </c>
      <c r="C30">
        <f ca="1"/>
        <v>76</v>
      </c>
      <c r="D30" s="13">
        <f ca="1"/>
        <v>76</v>
      </c>
      <c r="E30" t="str">
        <f ca="1"/>
        <v/>
      </c>
      <c r="F30" t="str">
        <f ca="1"/>
        <v/>
      </c>
      <c r="G30" t="str">
        <f ca="1"/>
        <v/>
      </c>
      <c r="H30" t="str">
        <f ca="1"/>
        <v/>
      </c>
      <c r="I30">
        <f ca="1"/>
        <v>76</v>
      </c>
      <c r="J30">
        <f ca="1"/>
        <v>152</v>
      </c>
      <c r="K30" t="str">
        <f ca="1"/>
        <v>Emily Lai</v>
      </c>
      <c r="L30">
        <f ca="1"/>
        <v>7</v>
      </c>
      <c r="M30">
        <f ca="1"/>
        <v>73</v>
      </c>
      <c r="N30" t="str">
        <f ca="1"/>
        <v/>
      </c>
      <c r="O30" t="str">
        <f ca="1"/>
        <v/>
      </c>
      <c r="P30" t="str">
        <f ca="1"/>
        <v/>
      </c>
      <c r="Q30" t="str">
        <f ca="1"/>
        <v/>
      </c>
      <c r="R30" t="str">
        <f ca="1"/>
        <v/>
      </c>
      <c r="S30">
        <f ca="1"/>
        <v>73</v>
      </c>
      <c r="T30">
        <f ca="1"/>
        <v>73</v>
      </c>
    </row>
    <row r="31" spans="1:20" x14ac:dyDescent="0.3">
      <c r="A31" t="str">
        <f ca="1"/>
        <v>Oliver Kleinig</v>
      </c>
      <c r="B31">
        <f ca="1"/>
        <v>10</v>
      </c>
      <c r="C31">
        <f ca="1"/>
        <v>77</v>
      </c>
      <c r="D31" s="13">
        <f ca="1"/>
        <v>77</v>
      </c>
      <c r="E31" t="str">
        <f ca="1"/>
        <v/>
      </c>
      <c r="F31" t="str">
        <f ca="1"/>
        <v/>
      </c>
      <c r="G31" t="str">
        <f ca="1"/>
        <v/>
      </c>
      <c r="H31" t="str">
        <f ca="1"/>
        <v/>
      </c>
      <c r="I31">
        <f ca="1"/>
        <v>77</v>
      </c>
      <c r="J31">
        <f ca="1"/>
        <v>154</v>
      </c>
      <c r="K31" t="str">
        <f ca="1"/>
        <v>Chengdong Wu</v>
      </c>
      <c r="L31">
        <f ca="1"/>
        <v>1</v>
      </c>
      <c r="M31">
        <f ca="1"/>
        <v>72</v>
      </c>
      <c r="N31" t="str">
        <f ca="1"/>
        <v/>
      </c>
      <c r="O31" t="str">
        <f ca="1"/>
        <v/>
      </c>
      <c r="P31" t="str">
        <f ca="1"/>
        <v/>
      </c>
      <c r="Q31" t="str">
        <f ca="1"/>
        <v/>
      </c>
      <c r="R31" t="str">
        <f ca="1"/>
        <v/>
      </c>
      <c r="S31">
        <f ca="1"/>
        <v>72</v>
      </c>
      <c r="T31">
        <f ca="1"/>
        <v>72</v>
      </c>
    </row>
    <row r="32" spans="1:20" x14ac:dyDescent="0.3">
      <c r="A32" t="str">
        <f ca="1"/>
        <v> Silas Hansch-Maher</v>
      </c>
      <c r="B32">
        <f ca="1"/>
        <v>10</v>
      </c>
      <c r="C32">
        <f ca="1"/>
        <v>77</v>
      </c>
      <c r="D32" s="13">
        <f ca="1"/>
        <v>77</v>
      </c>
      <c r="E32" t="str">
        <f ca="1"/>
        <v/>
      </c>
      <c r="F32" t="str">
        <f ca="1"/>
        <v/>
      </c>
      <c r="G32" t="str">
        <f ca="1"/>
        <v/>
      </c>
      <c r="H32" t="str">
        <f ca="1"/>
        <v/>
      </c>
      <c r="I32">
        <f ca="1"/>
        <v>77</v>
      </c>
      <c r="J32">
        <f ca="1"/>
        <v>154</v>
      </c>
      <c r="K32" t="str">
        <f ca="1"/>
        <v>William Prosser</v>
      </c>
      <c r="L32">
        <f ca="1"/>
        <v>11</v>
      </c>
      <c r="M32" t="str">
        <f ca="1"/>
        <v/>
      </c>
      <c r="N32">
        <f ca="1"/>
        <v>72</v>
      </c>
      <c r="O32" t="str">
        <f ca="1"/>
        <v/>
      </c>
      <c r="P32" t="str">
        <f ca="1"/>
        <v/>
      </c>
      <c r="Q32" t="str">
        <f ca="1"/>
        <v/>
      </c>
      <c r="R32" t="str">
        <f ca="1"/>
        <v/>
      </c>
      <c r="S32">
        <f ca="1"/>
        <v>72</v>
      </c>
      <c r="T32">
        <f ca="1"/>
        <v>72</v>
      </c>
    </row>
    <row r="33" spans="1:20" x14ac:dyDescent="0.3">
      <c r="A33" t="str">
        <f ca="1"/>
        <v>Aadi Malhorta</v>
      </c>
      <c r="B33">
        <f ca="1"/>
        <v>11</v>
      </c>
      <c r="C33">
        <f ca="1"/>
        <v>74</v>
      </c>
      <c r="D33" s="13" t="str">
        <f ca="1"/>
        <v/>
      </c>
      <c r="E33" t="str">
        <f ca="1"/>
        <v/>
      </c>
      <c r="F33" t="str">
        <f ca="1"/>
        <v/>
      </c>
      <c r="G33" t="str">
        <f ca="1"/>
        <v/>
      </c>
      <c r="H33" t="str">
        <f ca="1"/>
        <v/>
      </c>
      <c r="I33">
        <f ca="1"/>
        <v>74</v>
      </c>
      <c r="J33">
        <f ca="1"/>
        <v>74</v>
      </c>
      <c r="K33" t="str">
        <f ca="1"/>
        <v>Aaryan Goriyaan</v>
      </c>
      <c r="L33">
        <f ca="1"/>
        <v>6</v>
      </c>
      <c r="M33">
        <f ca="1"/>
        <v>72</v>
      </c>
      <c r="N33">
        <f ca="1"/>
        <v>71</v>
      </c>
      <c r="O33" t="str">
        <f ca="1"/>
        <v/>
      </c>
      <c r="P33" t="str">
        <f ca="1"/>
        <v/>
      </c>
      <c r="Q33" t="str">
        <f ca="1"/>
        <v/>
      </c>
      <c r="R33" t="str">
        <f ca="1"/>
        <v/>
      </c>
      <c r="S33">
        <f ca="1"/>
        <v>71.5</v>
      </c>
      <c r="T33">
        <f ca="1"/>
        <v>143</v>
      </c>
    </row>
    <row r="34" spans="1:20" x14ac:dyDescent="0.3">
      <c r="A34" t="str">
        <f ca="1"/>
        <v>Michael Deng</v>
      </c>
      <c r="B34">
        <f ca="1"/>
        <v>11</v>
      </c>
      <c r="C34">
        <f ca="1"/>
        <v>74</v>
      </c>
      <c r="D34" s="13" t="str">
        <f ca="1"/>
        <v/>
      </c>
      <c r="E34" t="str">
        <f ca="1"/>
        <v/>
      </c>
      <c r="F34" t="str">
        <f ca="1"/>
        <v/>
      </c>
      <c r="G34" t="str">
        <f ca="1"/>
        <v/>
      </c>
      <c r="H34" t="str">
        <f ca="1"/>
        <v/>
      </c>
      <c r="I34">
        <f ca="1"/>
        <v>74</v>
      </c>
      <c r="J34">
        <f ca="1"/>
        <v>74</v>
      </c>
      <c r="K34" t="str">
        <f ca="1"/>
        <v>Janice Stanzah</v>
      </c>
      <c r="L34">
        <f ca="1"/>
        <v>8</v>
      </c>
      <c r="M34" t="str">
        <f ca="1"/>
        <v/>
      </c>
      <c r="N34">
        <f ca="1"/>
        <v>71</v>
      </c>
      <c r="O34" t="str">
        <f ca="1"/>
        <v/>
      </c>
      <c r="P34" t="str">
        <f ca="1"/>
        <v/>
      </c>
      <c r="Q34" t="str">
        <f ca="1"/>
        <v/>
      </c>
      <c r="R34" t="str">
        <f ca="1"/>
        <v/>
      </c>
      <c r="S34">
        <f ca="1"/>
        <v>71</v>
      </c>
      <c r="T34">
        <f ca="1"/>
        <v>71</v>
      </c>
    </row>
    <row r="35" spans="1:20" x14ac:dyDescent="0.3">
      <c r="A35" t="str">
        <f ca="1"/>
        <v>Kerry Yao</v>
      </c>
      <c r="B35">
        <f ca="1"/>
        <v>11</v>
      </c>
      <c r="C35">
        <f ca="1"/>
        <v>74</v>
      </c>
      <c r="D35" s="13">
        <f ca="1"/>
        <v>74</v>
      </c>
      <c r="E35" t="str">
        <f ca="1"/>
        <v/>
      </c>
      <c r="F35" t="str">
        <f ca="1"/>
        <v/>
      </c>
      <c r="G35" t="str">
        <f ca="1"/>
        <v/>
      </c>
      <c r="H35" t="str">
        <f ca="1"/>
        <v/>
      </c>
      <c r="I35">
        <f ca="1"/>
        <v>74</v>
      </c>
      <c r="J35">
        <f ca="1"/>
        <v>148</v>
      </c>
      <c r="K35" t="str">
        <f ca="1"/>
        <v>Colette Le</v>
      </c>
      <c r="L35">
        <f ca="1"/>
        <v>3</v>
      </c>
      <c r="M35" t="str">
        <f ca="1"/>
        <v/>
      </c>
      <c r="N35" t="str">
        <f ca="1"/>
        <v/>
      </c>
      <c r="O35" t="str">
        <f ca="1"/>
        <v/>
      </c>
      <c r="P35" t="str">
        <f ca="1"/>
        <v/>
      </c>
      <c r="Q35" t="str">
        <f ca="1"/>
        <v/>
      </c>
      <c r="R35" t="str">
        <f ca="1"/>
        <v/>
      </c>
      <c r="S35">
        <f ca="1"/>
        <v>0</v>
      </c>
      <c r="T35">
        <f ca="1"/>
        <v>0</v>
      </c>
    </row>
    <row r="36" spans="1:20" x14ac:dyDescent="0.3">
      <c r="A36" t="str">
        <f ca="1"/>
        <v>William Prosser</v>
      </c>
      <c r="B36">
        <f ca="1"/>
        <v>11</v>
      </c>
      <c r="C36" t="str">
        <f ca="1"/>
        <v/>
      </c>
      <c r="D36" s="13">
        <f ca="1"/>
        <v>72</v>
      </c>
      <c r="E36" t="str">
        <f ca="1"/>
        <v/>
      </c>
      <c r="F36" t="str">
        <f ca="1"/>
        <v/>
      </c>
      <c r="G36" t="str">
        <f ca="1"/>
        <v/>
      </c>
      <c r="H36" t="str">
        <f ca="1"/>
        <v/>
      </c>
      <c r="I36">
        <f ca="1"/>
        <v>72</v>
      </c>
      <c r="J36">
        <f ca="1"/>
        <v>72</v>
      </c>
      <c r="K36" t="str">
        <f ca="1"/>
        <v>Sonali Jesudason</v>
      </c>
      <c r="L36">
        <f ca="1"/>
        <v>5</v>
      </c>
      <c r="M36" t="str">
        <f ca="1"/>
        <v/>
      </c>
      <c r="N36" t="str">
        <f ca="1"/>
        <v/>
      </c>
      <c r="O36" t="str">
        <f ca="1"/>
        <v/>
      </c>
      <c r="P36" t="str">
        <f ca="1"/>
        <v/>
      </c>
      <c r="Q36" t="str">
        <f ca="1"/>
        <v/>
      </c>
      <c r="R36" t="str">
        <f ca="1"/>
        <v/>
      </c>
      <c r="S36">
        <f ca="1"/>
        <v>0</v>
      </c>
      <c r="T36">
        <f ca="1"/>
        <v>0</v>
      </c>
    </row>
    <row r="37" spans="1:20" x14ac:dyDescent="0.3">
      <c r="D37" s="13"/>
    </row>
    <row r="38" spans="1:20" x14ac:dyDescent="0.3">
      <c r="D38" s="13"/>
    </row>
    <row r="39" spans="1:20" x14ac:dyDescent="0.3">
      <c r="D39" s="13"/>
    </row>
    <row r="40" spans="1:20" x14ac:dyDescent="0.3">
      <c r="D40" s="13"/>
    </row>
    <row r="41" spans="1:20" x14ac:dyDescent="0.3">
      <c r="D41" s="13"/>
    </row>
    <row r="42" spans="1:20" x14ac:dyDescent="0.3">
      <c r="D42" s="13"/>
    </row>
    <row r="43" spans="1:20" x14ac:dyDescent="0.3">
      <c r="D43" s="13"/>
    </row>
    <row r="44" spans="1:20" x14ac:dyDescent="0.3">
      <c r="D44" s="13"/>
    </row>
    <row r="45" spans="1:20" x14ac:dyDescent="0.3">
      <c r="D45" s="13"/>
    </row>
    <row r="46" spans="1:20" x14ac:dyDescent="0.3">
      <c r="D46" s="13"/>
    </row>
    <row r="47" spans="1:20" x14ac:dyDescent="0.3">
      <c r="D47" s="13"/>
    </row>
    <row r="48" spans="1:20" x14ac:dyDescent="0.3">
      <c r="D48" s="13"/>
    </row>
    <row r="49" spans="4:4" x14ac:dyDescent="0.3">
      <c r="D49" s="13"/>
    </row>
    <row r="50" spans="4:4" x14ac:dyDescent="0.3">
      <c r="D50" s="13"/>
    </row>
    <row r="51" spans="4:4" x14ac:dyDescent="0.3">
      <c r="D51" s="13"/>
    </row>
    <row r="52" spans="4:4" x14ac:dyDescent="0.3">
      <c r="D52" s="13"/>
    </row>
    <row r="53" spans="4:4" x14ac:dyDescent="0.3">
      <c r="D53" s="13"/>
    </row>
    <row r="54" spans="4:4" x14ac:dyDescent="0.3">
      <c r="D54" s="13"/>
    </row>
    <row r="55" spans="4:4" x14ac:dyDescent="0.3">
      <c r="D55" s="13"/>
    </row>
    <row r="56" spans="4:4" x14ac:dyDescent="0.3">
      <c r="D56" s="13"/>
    </row>
    <row r="57" spans="4:4" x14ac:dyDescent="0.3">
      <c r="D57" s="13"/>
    </row>
    <row r="58" spans="4:4" x14ac:dyDescent="0.3">
      <c r="D58" s="13"/>
    </row>
    <row r="59" spans="4:4" x14ac:dyDescent="0.3">
      <c r="D59" s="13"/>
    </row>
    <row r="60" spans="4:4" x14ac:dyDescent="0.3">
      <c r="D60" s="13"/>
    </row>
    <row r="61" spans="4:4" x14ac:dyDescent="0.3">
      <c r="D61" s="13"/>
    </row>
    <row r="62" spans="4:4" x14ac:dyDescent="0.3">
      <c r="D62" s="13"/>
    </row>
    <row r="63" spans="4:4" x14ac:dyDescent="0.3">
      <c r="D63" s="13"/>
    </row>
    <row r="64" spans="4:4" x14ac:dyDescent="0.3">
      <c r="D64" s="13"/>
    </row>
    <row r="65" spans="4:4" x14ac:dyDescent="0.3">
      <c r="D65" s="13"/>
    </row>
    <row r="66" spans="4:4" x14ac:dyDescent="0.3">
      <c r="D66" s="13"/>
    </row>
    <row r="67" spans="4:4" x14ac:dyDescent="0.3">
      <c r="D67" s="13"/>
    </row>
    <row r="68" spans="4:4" x14ac:dyDescent="0.3">
      <c r="D68" s="13"/>
    </row>
    <row r="69" spans="4:4" x14ac:dyDescent="0.3">
      <c r="D69" s="13"/>
    </row>
    <row r="70" spans="4:4" x14ac:dyDescent="0.3">
      <c r="D70" s="13"/>
    </row>
    <row r="71" spans="4:4" x14ac:dyDescent="0.3">
      <c r="D71" s="13"/>
    </row>
    <row r="72" spans="4:4" x14ac:dyDescent="0.3">
      <c r="D72" s="13"/>
    </row>
    <row r="73" spans="4:4" x14ac:dyDescent="0.3">
      <c r="D73" s="13"/>
    </row>
    <row r="74" spans="4:4" x14ac:dyDescent="0.3">
      <c r="D74" s="13"/>
    </row>
    <row r="75" spans="4:4" x14ac:dyDescent="0.3">
      <c r="D75" s="13"/>
    </row>
    <row r="76" spans="4:4" x14ac:dyDescent="0.3">
      <c r="D76" s="13"/>
    </row>
    <row r="77" spans="4:4" x14ac:dyDescent="0.3">
      <c r="D77" s="13"/>
    </row>
    <row r="78" spans="4:4" x14ac:dyDescent="0.3">
      <c r="D78" s="13"/>
    </row>
    <row r="79" spans="4:4" x14ac:dyDescent="0.3">
      <c r="D79" s="13"/>
    </row>
    <row r="80" spans="4:4" x14ac:dyDescent="0.3">
      <c r="D80" s="13"/>
    </row>
    <row r="81" spans="4:4" x14ac:dyDescent="0.3">
      <c r="D81" s="13"/>
    </row>
    <row r="82" spans="4:4" x14ac:dyDescent="0.3">
      <c r="D82" s="13"/>
    </row>
    <row r="83" spans="4:4" x14ac:dyDescent="0.3">
      <c r="D83" s="13"/>
    </row>
    <row r="84" spans="4:4" x14ac:dyDescent="0.3">
      <c r="D84" s="13"/>
    </row>
    <row r="85" spans="4:4" x14ac:dyDescent="0.3">
      <c r="D85" s="13"/>
    </row>
    <row r="86" spans="4:4" x14ac:dyDescent="0.3">
      <c r="D86" s="13"/>
    </row>
    <row r="87" spans="4:4" x14ac:dyDescent="0.3">
      <c r="D87" s="13"/>
    </row>
    <row r="88" spans="4:4" x14ac:dyDescent="0.3">
      <c r="D88" s="13"/>
    </row>
    <row r="89" spans="4:4" x14ac:dyDescent="0.3">
      <c r="D89" s="13"/>
    </row>
    <row r="90" spans="4:4" x14ac:dyDescent="0.3">
      <c r="D90" s="13"/>
    </row>
    <row r="91" spans="4:4" x14ac:dyDescent="0.3">
      <c r="D91" s="13"/>
    </row>
    <row r="92" spans="4:4" x14ac:dyDescent="0.3">
      <c r="D92" s="13"/>
    </row>
    <row r="93" spans="4:4" x14ac:dyDescent="0.3">
      <c r="D93" s="13"/>
    </row>
    <row r="94" spans="4:4" x14ac:dyDescent="0.3">
      <c r="D94" s="13"/>
    </row>
    <row r="95" spans="4:4" x14ac:dyDescent="0.3">
      <c r="D95" s="13"/>
    </row>
    <row r="96" spans="4:4" x14ac:dyDescent="0.3">
      <c r="D96" s="13"/>
    </row>
    <row r="97" spans="4:4" x14ac:dyDescent="0.3">
      <c r="D97" s="13"/>
    </row>
    <row r="98" spans="4:4" x14ac:dyDescent="0.3">
      <c r="D98" s="13"/>
    </row>
    <row r="99" spans="4:4" x14ac:dyDescent="0.3">
      <c r="D99" s="13"/>
    </row>
    <row r="100" spans="4:4" x14ac:dyDescent="0.3">
      <c r="D100" s="13"/>
    </row>
    <row r="101" spans="4:4" x14ac:dyDescent="0.3">
      <c r="D101" s="13"/>
    </row>
    <row r="102" spans="4:4" x14ac:dyDescent="0.3">
      <c r="D102" s="13"/>
    </row>
    <row r="103" spans="4:4" x14ac:dyDescent="0.3">
      <c r="D103" s="13"/>
    </row>
    <row r="104" spans="4:4" x14ac:dyDescent="0.3">
      <c r="D104" s="13"/>
    </row>
    <row r="105" spans="4:4" x14ac:dyDescent="0.3">
      <c r="D105" s="13"/>
    </row>
    <row r="106" spans="4:4" x14ac:dyDescent="0.3">
      <c r="D106" s="13"/>
    </row>
    <row r="107" spans="4:4" x14ac:dyDescent="0.3">
      <c r="D107" s="13"/>
    </row>
    <row r="108" spans="4:4" x14ac:dyDescent="0.3">
      <c r="D108" s="13"/>
    </row>
    <row r="109" spans="4:4" x14ac:dyDescent="0.3">
      <c r="D109" s="13"/>
    </row>
    <row r="110" spans="4:4" x14ac:dyDescent="0.3">
      <c r="D110" s="13"/>
    </row>
    <row r="111" spans="4:4" x14ac:dyDescent="0.3">
      <c r="D111" s="13"/>
    </row>
    <row r="112" spans="4:4" x14ac:dyDescent="0.3">
      <c r="D112" s="13"/>
    </row>
    <row r="113" spans="4:4" x14ac:dyDescent="0.3">
      <c r="D113" s="13"/>
    </row>
    <row r="114" spans="4:4" x14ac:dyDescent="0.3">
      <c r="D114" s="13"/>
    </row>
    <row r="115" spans="4:4" x14ac:dyDescent="0.3">
      <c r="D115" s="13"/>
    </row>
    <row r="116" spans="4:4" x14ac:dyDescent="0.3">
      <c r="D116" s="13"/>
    </row>
    <row r="117" spans="4:4" x14ac:dyDescent="0.3">
      <c r="D117" s="13"/>
    </row>
    <row r="118" spans="4:4" x14ac:dyDescent="0.3">
      <c r="D118" s="13"/>
    </row>
    <row r="119" spans="4:4" x14ac:dyDescent="0.3">
      <c r="D119" s="13"/>
    </row>
    <row r="120" spans="4:4" x14ac:dyDescent="0.3">
      <c r="D120" s="13"/>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5AE94-49EF-4672-9259-1E57EBF80EB0}">
  <sheetPr codeName="Sheet14"/>
  <dimension ref="A1:AG120"/>
  <sheetViews>
    <sheetView topLeftCell="N1" workbookViewId="0">
      <selection activeCell="V2" sqref="V2"/>
    </sheetView>
  </sheetViews>
  <sheetFormatPr defaultRowHeight="14.4" x14ac:dyDescent="0.3"/>
  <cols>
    <col min="1" max="1" width="5.44140625" bestFit="1" customWidth="1"/>
    <col min="2" max="6" width="7.77734375" bestFit="1" customWidth="1"/>
    <col min="7" max="7" width="9.88671875" customWidth="1"/>
    <col min="8" max="8" width="14" bestFit="1" customWidth="1"/>
    <col min="9" max="9" width="12.5546875" bestFit="1" customWidth="1"/>
    <col min="11" max="11" width="5.44140625" bestFit="1" customWidth="1"/>
    <col min="12" max="16" width="7.77734375" bestFit="1" customWidth="1"/>
    <col min="17" max="17" width="6.21875" bestFit="1" customWidth="1"/>
    <col min="18" max="18" width="14" bestFit="1" customWidth="1"/>
    <col min="19" max="19" width="12.5546875" bestFit="1" customWidth="1"/>
  </cols>
  <sheetData>
    <row r="1" spans="1:33" x14ac:dyDescent="0.3">
      <c r="A1" s="6" t="s">
        <v>20</v>
      </c>
      <c r="B1" s="6" t="s">
        <v>51</v>
      </c>
      <c r="C1" s="6" t="s">
        <v>52</v>
      </c>
      <c r="D1" s="6" t="s">
        <v>53</v>
      </c>
      <c r="E1" s="6" t="s">
        <v>54</v>
      </c>
      <c r="F1" s="6" t="s">
        <v>55</v>
      </c>
      <c r="G1" s="6" t="s">
        <v>62</v>
      </c>
      <c r="H1" s="6" t="s">
        <v>42</v>
      </c>
      <c r="I1" s="6" t="s">
        <v>56</v>
      </c>
      <c r="J1" s="6" t="s">
        <v>48</v>
      </c>
      <c r="K1" s="6" t="s">
        <v>60</v>
      </c>
      <c r="L1" s="6" t="s">
        <v>20</v>
      </c>
      <c r="M1" s="6" t="s">
        <v>51</v>
      </c>
      <c r="N1" s="6" t="s">
        <v>52</v>
      </c>
      <c r="O1" s="6" t="s">
        <v>53</v>
      </c>
      <c r="P1" s="6" t="s">
        <v>54</v>
      </c>
      <c r="Q1" s="6" t="s">
        <v>55</v>
      </c>
      <c r="R1" s="6" t="s">
        <v>62</v>
      </c>
      <c r="S1" s="6" t="s">
        <v>42</v>
      </c>
      <c r="T1" s="6" t="s">
        <v>56</v>
      </c>
      <c r="U1" s="6" t="s">
        <v>48</v>
      </c>
      <c r="V1" s="6" t="s">
        <v>20</v>
      </c>
      <c r="W1" s="6" t="s">
        <v>51</v>
      </c>
      <c r="X1" s="6" t="s">
        <v>52</v>
      </c>
      <c r="Y1" s="6" t="s">
        <v>53</v>
      </c>
      <c r="Z1" s="6" t="s">
        <v>54</v>
      </c>
      <c r="AA1" s="6" t="s">
        <v>55</v>
      </c>
      <c r="AB1" s="6" t="s">
        <v>62</v>
      </c>
      <c r="AC1" s="6" t="s">
        <v>42</v>
      </c>
      <c r="AD1" s="6" t="s">
        <v>56</v>
      </c>
      <c r="AE1" s="6" t="s">
        <v>48</v>
      </c>
      <c r="AF1" s="6"/>
      <c r="AG1" s="6"/>
    </row>
    <row r="2" spans="1:33" x14ac:dyDescent="0.3">
      <c r="A2" cm="1">
        <f t="array" aca="1" ref="A2:A12" ca="1">_xlfn.UNIQUE(_xlfn._xlws.FILTER(Roll!C:C, (Roll!C:C&lt;&gt;"")*(Roll!C:C&lt;&gt;"Team")))</f>
        <v>1</v>
      </c>
      <c r="B2" t="str" cm="1">
        <f t="array" aca="1" ref="B2:B12" ca="1">_xlfn.BYROW(_xlfn.ANCHORARRAY(A2), _xlfn.LAMBDA(_xlpm.x, IFERROR(IF(INDEX('Round 1 Working'!AH:AH, MATCH(_xlpm.x, 'Round 1 Working'!AE:AE, 0)) = 1, "Win", "Loss"), "")))</f>
        <v>Loss</v>
      </c>
      <c r="C2" s="13" t="str" cm="1">
        <f t="array" aca="1" ref="C2:C12" ca="1">_xlfn.BYROW(_xlfn.ANCHORARRAY(A2), _xlfn.LAMBDA(_xlpm.x, IFERROR(IF(INDEX('Round 2 Working'!AH:AH, MATCH(_xlpm.x, 'Round 2 Working'!AE:AE, 0)) = 1, "Win", "Loss"), "")))</f>
        <v>Loss</v>
      </c>
      <c r="D2" s="13" t="str" cm="1">
        <f t="array" aca="1" ref="D2:D12" ca="1">_xlfn.BYROW(_xlfn.ANCHORARRAY(A2), _xlfn.LAMBDA(_xlpm.x, IFERROR(IF(INDEX('Round 3 Working'!AH:AH, MATCH(_xlpm.x, 'Round 3 Working'!AE:AE, 0)) = 1, "Win", "Loss"), "")))</f>
        <v/>
      </c>
      <c r="E2" s="13" t="str" cm="1">
        <f t="array" aca="1" ref="E2:E12" ca="1">_xlfn.BYROW(_xlfn.ANCHORARRAY(A2), _xlfn.LAMBDA(_xlpm.x, IFERROR(IF(INDEX('Round 4 Working'!AH:AH, MATCH(_xlpm.x, 'Round 4 Working'!AE:AE, 0)) = 1, "Win", "Loss"), "")))</f>
        <v/>
      </c>
      <c r="F2" s="13" t="str" cm="1">
        <f t="array" aca="1" ref="F2:F12" ca="1">_xlfn.BYROW(_xlfn.ANCHORARRAY(A2), _xlfn.LAMBDA(_xlpm.x, IFERROR(IF(INDEX('Round 5 Working'!AH:AH, MATCH(_xlpm.x, 'Round 5 Working'!AE:AE, 0)) = 1, "Win", "Loss"), "")))</f>
        <v/>
      </c>
      <c r="G2" t="str" cm="1">
        <f t="array" aca="1" ref="G2:G12" ca="1">_xlfn.BYROW(_xlfn.ANCHORARRAY(A2), _xlfn.LAMBDA(_xlpm.x, IFERROR(IF(INDEX('Round 6 Working'!AH:AH, MATCH(_xlpm.x, 'Round 6 Working'!AE:AE, 0)) = 1, "Win", "Loss"), "")))</f>
        <v/>
      </c>
      <c r="H2" cm="1">
        <f t="array" aca="1" ref="H2:H12" ca="1">_xlfn.BYROW(_xlfn.ANCHORARRAY(A2), _xlfn.LAMBDA(_xlpm.x, COUNTIF(OFFSET(_xlpm.x, 0, 1, 1, 6), "Win")))</f>
        <v>0</v>
      </c>
      <c r="I2" cm="1">
        <f t="array" aca="1" ref="I2:I12" ca="1">_xlfn.BYROW(_xlfn.ANCHORARRAY(A2), _xlfn.LAMBDA(_xlpm.x, IF(COUNTIF(OFFSET(_xlpm.x, 0, 1, 1, 6), "Win")&gt;0, SUM(IF(OFFSET(_xlpm.x, 0, 1)="Win", INDEX('Round 1 Working'!AG:AG, MATCH(_xlpm.x, 'Round 1 Working'!AE:AE, 0)), 0), IF(OFFSET(_xlpm.x, 0, 2)="Win", INDEX('Round 2 Working'!AG:AG, MATCH(_xlpm.x, 'Round 2 Working'!AE:AE, 0)), 0), IF(OFFSET(_xlpm.x, 0, 3)="Win", INDEX('Round 3 Working'!AG:AG, MATCH(_xlpm.x, 'Round 3 Working'!AE:AE, 0)), 0), IF(OFFSET(_xlpm.x, 0, 4)="Win", INDEX('Round 4 Working'!AG:AG, MATCH(_xlpm.x, 'Round 4 Working'!AE:AE, 0)), 0), IF(OFFSET(_xlpm.x, 0, 5)="Win", INDEX('Round 5 Working'!AG:AG, MATCH(_xlpm.x, 'Round 5 Working'!AE:AE, 0)), 0), IF(OFFSET(_xlpm.x, 0, 6)="Win", INDEX('Round 6 Working'!AG:AG, MATCH(_xlpm.x, 'Round 6 Working'!AE:AE, 0)), 0))/COUNTIF(OFFSET(_xlpm.x, 0, 1, 1, 6), "Win"), 0)))</f>
        <v>0</v>
      </c>
      <c r="J2" cm="1">
        <f t="array" aca="1" ref="J2:J12" ca="1">_xlfn.BYROW(_xlfn.ANCHORARRAY(A2), _xlfn.LAMBDA(_xlpm.x, IF(OR(COUNTIF(OFFSET(_xlpm.x, 0, 1, 1, 6), "Win")&gt;0, COUNTIF(OFFSET(_xlpm.x, 0, 1, 1, 5), "Win")&gt;0), SUM(IF(OR(OFFSET(_xlpm.x, 0, 1) = "Win", OFFSET(_xlpm.x, 0, 1) = "Loss"), INDEX('Round 1 Working'!AF:AF, MATCH(_xlpm.x, 'Round 1 Working'!AE:AE, 0)), 0), IF(OR(OFFSET(_xlpm.x, 0, 2) = "Win", OFFSET(_xlpm.x, 0, 2) = "Loss"), INDEX('Round 2 Working'!AF:AF, MATCH(_xlpm.x, 'Round 2 Working'!AE:AE, 0)), 0), IF(OR(OFFSET(_xlpm.x, 0, 3) = "Win", OFFSET(_xlpm.x, 0, 3) = "Loss"), INDEX('Round 3 Working'!AF:AF, MATCH(_xlpm.x, 'Round 3 Working'!AE:AE, 0)), 0), IF(OR(OFFSET(_xlpm.x, 0, 4) = "Win", OFFSET(_xlpm.x, 0, 4) = "Loss"), INDEX('Round 4 Working'!AF:AF, MATCH(_xlpm.x, 'Round 4 Working'!AE:AE, 0)), 0), IF(OR(OFFSET(_xlpm.x, 0, 5) = "Win", OFFSET(_xlpm.x, 0, 5) = "Loss"), INDEX('Round 5 Working'!AF:AF, MATCH(_xlpm.x, 'Round 5 Working'!AE:AE, 0)), 0), IF(OR(OFFSET(_xlpm.x, 0, 6) = "Win", OFFSET(_xlpm.x, 0, 6) = "Loss"), INDEX('Round 6 Working'!AF:AF, MATCH(_xlpm.x, 'Round 6 Working'!AE:AE, 0)), 0))/(COUNTIF(OFFSET(_xlpm.x, 0, 1, 1, 6), "Win")+COUNTIF(OFFSET(_xlpm.x, 0, 1, 1, 6), "Loss")), 0)))</f>
        <v>0</v>
      </c>
      <c r="K2" s="5" t="str" cm="1">
        <f t="array" aca="1" ref="K2:K12" ca="1">_xlfn.BYROW(_xlfn.ANCHORARRAY(A2), _xlfn.LAMBDA(_xlpm.x, _xlfn.TEXTJOIN(", ", TRUE, _xlfn._xlws.FILTER(Roll!B:B, Roll!C:C=INDEX(_xlpm.x, 0, 1), ""))))</f>
        <v>Yifan Sun, Shengyin Bai, Yifei Wang, Chengdong Wu</v>
      </c>
      <c r="L2" t="str" cm="1">
        <f t="array" aca="1" ref="L2:L12" ca="1">CONCATENATE(_xlfn.ANCHORARRAY(A2), " (",_xlfn.ANCHORARRAY( K2), ")")</f>
        <v>1 (Yifan Sun, Shengyin Bai, Yifei Wang, Chengdong Wu)</v>
      </c>
      <c r="M2" t="str" cm="1">
        <f t="array" aca="1" ref="M2:U12" ca="1">_xlfn.ANCHORARRAY(B2):_xlfn.ANCHORARRAY(J2)</f>
        <v>Loss</v>
      </c>
      <c r="N2" t="str">
        <f ca="1"/>
        <v>Loss</v>
      </c>
      <c r="O2" t="str">
        <f ca="1"/>
        <v/>
      </c>
      <c r="P2" t="str">
        <f ca="1"/>
        <v/>
      </c>
      <c r="Q2" t="str">
        <f ca="1"/>
        <v/>
      </c>
      <c r="R2" s="13" t="str">
        <f ca="1"/>
        <v/>
      </c>
      <c r="S2" s="14">
        <f ca="1"/>
        <v>0</v>
      </c>
      <c r="T2">
        <f ca="1"/>
        <v>0</v>
      </c>
      <c r="U2">
        <f ca="1"/>
        <v>0</v>
      </c>
      <c r="V2" t="str" cm="1">
        <f t="array" aca="1" ref="V2:AE12" ca="1">_xlfn.SORTBY(_xlfn.ANCHORARRAY(L2):_xlfn.ANCHORARRAY(M2), INDEX(_xlfn.ANCHORARRAY(M2), , 6), -1, INDEX(_xlfn.ANCHORARRAY(M2), , 7), -1, INDEX(_xlfn.ANCHORARRAY(M2), , 8), -1)</f>
        <v>10 (Jess Zhang, Oliver Kleinig,  Silas Hansch-Maher)</v>
      </c>
      <c r="W2" t="str">
        <f ca="1"/>
        <v>Win</v>
      </c>
      <c r="X2" t="str">
        <f ca="1"/>
        <v>Win</v>
      </c>
      <c r="Y2" t="str">
        <f ca="1"/>
        <v/>
      </c>
      <c r="Z2" t="str">
        <f ca="1"/>
        <v/>
      </c>
      <c r="AA2" s="13" t="str">
        <f ca="1"/>
        <v/>
      </c>
      <c r="AB2" t="str">
        <f ca="1"/>
        <v/>
      </c>
      <c r="AC2">
        <f ca="1"/>
        <v>2</v>
      </c>
      <c r="AD2">
        <f ca="1"/>
        <v>4.5</v>
      </c>
      <c r="AE2">
        <f ca="1"/>
        <v>230</v>
      </c>
    </row>
    <row r="3" spans="1:33" x14ac:dyDescent="0.3">
      <c r="A3">
        <f ca="1"/>
        <v>2</v>
      </c>
      <c r="B3" t="str">
        <f ca="1"/>
        <v>Loss</v>
      </c>
      <c r="C3" s="13" t="str">
        <f ca="1"/>
        <v>Loss</v>
      </c>
      <c r="D3" s="13" t="str">
        <f ca="1"/>
        <v/>
      </c>
      <c r="E3" s="13" t="str">
        <f ca="1"/>
        <v/>
      </c>
      <c r="F3" s="13" t="str">
        <f ca="1"/>
        <v/>
      </c>
      <c r="G3" t="str">
        <f ca="1"/>
        <v/>
      </c>
      <c r="H3">
        <f ca="1"/>
        <v>0</v>
      </c>
      <c r="I3">
        <f ca="1"/>
        <v>0</v>
      </c>
      <c r="J3">
        <f ca="1"/>
        <v>0</v>
      </c>
      <c r="K3" t="str">
        <f ca="1"/>
        <v>Harry Elliott, Sam Button, Oliver Hooper</v>
      </c>
      <c r="L3" t="str">
        <f ca="1"/>
        <v>2 (Harry Elliott, Sam Button, Oliver Hooper)</v>
      </c>
      <c r="M3" t="str">
        <f ca="1"/>
        <v>Loss</v>
      </c>
      <c r="N3" t="str">
        <f ca="1"/>
        <v>Loss</v>
      </c>
      <c r="O3" t="str">
        <f ca="1"/>
        <v/>
      </c>
      <c r="P3" t="str">
        <f ca="1"/>
        <v/>
      </c>
      <c r="Q3" s="13" t="str">
        <f ca="1"/>
        <v/>
      </c>
      <c r="R3" s="13" t="str">
        <f ca="1"/>
        <v/>
      </c>
      <c r="S3" s="14">
        <f ca="1"/>
        <v>0</v>
      </c>
      <c r="T3">
        <f ca="1"/>
        <v>0</v>
      </c>
      <c r="U3">
        <f ca="1"/>
        <v>0</v>
      </c>
      <c r="V3" t="str">
        <f ca="1"/>
        <v>5 (Sonali Jesudason, Eliza Rayner, Sophia Figueroa)</v>
      </c>
      <c r="W3" t="str">
        <f ca="1"/>
        <v>Win</v>
      </c>
      <c r="X3" t="str">
        <f ca="1"/>
        <v/>
      </c>
      <c r="Y3" t="str">
        <f ca="1"/>
        <v/>
      </c>
      <c r="Z3" t="str">
        <f ca="1"/>
        <v/>
      </c>
      <c r="AA3" t="str">
        <f ca="1"/>
        <v/>
      </c>
      <c r="AB3" t="str">
        <f ca="1"/>
        <v/>
      </c>
      <c r="AC3">
        <f ca="1"/>
        <v>1</v>
      </c>
      <c r="AD3">
        <f ca="1"/>
        <v>3</v>
      </c>
      <c r="AE3">
        <f ca="1"/>
        <v>225</v>
      </c>
    </row>
    <row r="4" spans="1:33" x14ac:dyDescent="0.3">
      <c r="A4">
        <f ca="1"/>
        <v>3</v>
      </c>
      <c r="B4" t="str">
        <f ca="1"/>
        <v/>
      </c>
      <c r="C4" s="13" t="str">
        <f ca="1"/>
        <v>Loss</v>
      </c>
      <c r="D4" s="13" t="str">
        <f ca="1"/>
        <v/>
      </c>
      <c r="E4" s="13" t="str">
        <f ca="1"/>
        <v/>
      </c>
      <c r="F4" s="13" t="str">
        <f ca="1"/>
        <v/>
      </c>
      <c r="G4" t="str">
        <f ca="1"/>
        <v/>
      </c>
      <c r="H4">
        <f ca="1"/>
        <v>0</v>
      </c>
      <c r="I4">
        <f ca="1"/>
        <v>0</v>
      </c>
      <c r="J4">
        <f ca="1"/>
        <v>0</v>
      </c>
      <c r="K4" t="str">
        <f ca="1"/>
        <v>Amy Zander, Roan Bird, Colette Le</v>
      </c>
      <c r="L4" t="str">
        <f ca="1"/>
        <v>3 (Amy Zander, Roan Bird, Colette Le)</v>
      </c>
      <c r="M4" t="str">
        <f ca="1"/>
        <v/>
      </c>
      <c r="N4" t="str">
        <f ca="1"/>
        <v>Loss</v>
      </c>
      <c r="O4" t="str">
        <f ca="1"/>
        <v/>
      </c>
      <c r="P4" t="str">
        <f ca="1"/>
        <v/>
      </c>
      <c r="Q4" s="13" t="str">
        <f ca="1"/>
        <v/>
      </c>
      <c r="R4" s="13" t="str">
        <f ca="1"/>
        <v/>
      </c>
      <c r="S4" s="14">
        <f ca="1"/>
        <v>0</v>
      </c>
      <c r="T4">
        <f ca="1"/>
        <v>0</v>
      </c>
      <c r="U4">
        <f ca="1"/>
        <v>0</v>
      </c>
      <c r="V4" t="str">
        <f ca="1"/>
        <v>4 (Bede Hansch-Maher, Laura Wright, Theodore Lysaght)</v>
      </c>
      <c r="W4" t="str">
        <f ca="1"/>
        <v>Loss</v>
      </c>
      <c r="X4" t="str">
        <f ca="1"/>
        <v>Win</v>
      </c>
      <c r="Y4" t="str">
        <f ca="1"/>
        <v/>
      </c>
      <c r="Z4" t="str">
        <f ca="1"/>
        <v/>
      </c>
      <c r="AA4" t="str">
        <f ca="1"/>
        <v/>
      </c>
      <c r="AB4" t="str">
        <f ca="1"/>
        <v/>
      </c>
      <c r="AC4">
        <f ca="1"/>
        <v>1</v>
      </c>
      <c r="AD4">
        <f ca="1"/>
        <v>2</v>
      </c>
      <c r="AE4">
        <f ca="1"/>
        <v>226</v>
      </c>
    </row>
    <row r="5" spans="1:33" x14ac:dyDescent="0.3">
      <c r="A5">
        <f ca="1"/>
        <v>4</v>
      </c>
      <c r="B5" t="str">
        <f ca="1"/>
        <v>Loss</v>
      </c>
      <c r="C5" s="13" t="str">
        <f ca="1"/>
        <v>Win</v>
      </c>
      <c r="D5" s="13" t="str">
        <f ca="1"/>
        <v/>
      </c>
      <c r="E5" s="13" t="str">
        <f ca="1"/>
        <v/>
      </c>
      <c r="F5" s="13" t="str">
        <f ca="1"/>
        <v/>
      </c>
      <c r="G5" t="str">
        <f ca="1"/>
        <v/>
      </c>
      <c r="H5">
        <f ca="1"/>
        <v>1</v>
      </c>
      <c r="I5">
        <f ca="1"/>
        <v>2</v>
      </c>
      <c r="J5">
        <f ca="1"/>
        <v>226</v>
      </c>
      <c r="K5" t="str">
        <f ca="1"/>
        <v>Bede Hansch-Maher, Laura Wright, Theodore Lysaght</v>
      </c>
      <c r="L5" t="str">
        <f ca="1"/>
        <v>4 (Bede Hansch-Maher, Laura Wright, Theodore Lysaght)</v>
      </c>
      <c r="M5" t="str">
        <f ca="1"/>
        <v>Loss</v>
      </c>
      <c r="N5" t="str">
        <f ca="1"/>
        <v>Win</v>
      </c>
      <c r="O5" t="str">
        <f ca="1"/>
        <v/>
      </c>
      <c r="P5" t="str">
        <f ca="1"/>
        <v/>
      </c>
      <c r="Q5" s="13" t="str">
        <f ca="1"/>
        <v/>
      </c>
      <c r="R5" s="13" t="str">
        <f ca="1"/>
        <v/>
      </c>
      <c r="S5" s="14">
        <f ca="1"/>
        <v>1</v>
      </c>
      <c r="T5">
        <f ca="1"/>
        <v>2</v>
      </c>
      <c r="U5">
        <f ca="1"/>
        <v>226</v>
      </c>
      <c r="V5" t="str">
        <f ca="1"/>
        <v>7 (Ava Stewart, Seraphina Zhang, Emily Lai)</v>
      </c>
      <c r="W5" t="str">
        <f ca="1"/>
        <v>Loss</v>
      </c>
      <c r="X5" t="str">
        <f ca="1"/>
        <v>Win</v>
      </c>
      <c r="Y5" t="str">
        <f ca="1"/>
        <v/>
      </c>
      <c r="Z5" t="str">
        <f ca="1"/>
        <v/>
      </c>
      <c r="AA5" t="str">
        <f ca="1"/>
        <v/>
      </c>
      <c r="AB5" t="str">
        <f ca="1"/>
        <v/>
      </c>
      <c r="AC5">
        <f ca="1"/>
        <v>1</v>
      </c>
      <c r="AD5">
        <f ca="1"/>
        <v>1</v>
      </c>
      <c r="AE5">
        <f ca="1"/>
        <v>224</v>
      </c>
    </row>
    <row r="6" spans="1:33" x14ac:dyDescent="0.3">
      <c r="A6">
        <f ca="1"/>
        <v>5</v>
      </c>
      <c r="B6" t="str">
        <f ca="1"/>
        <v>Win</v>
      </c>
      <c r="C6" s="13" t="str">
        <f ca="1"/>
        <v/>
      </c>
      <c r="D6" s="13" t="str">
        <f ca="1"/>
        <v/>
      </c>
      <c r="E6" s="13" t="str">
        <f ca="1"/>
        <v/>
      </c>
      <c r="F6" s="13" t="str">
        <f ca="1"/>
        <v/>
      </c>
      <c r="G6" t="str">
        <f ca="1"/>
        <v/>
      </c>
      <c r="H6">
        <f ca="1"/>
        <v>1</v>
      </c>
      <c r="I6">
        <f ca="1"/>
        <v>3</v>
      </c>
      <c r="J6">
        <f ca="1"/>
        <v>225</v>
      </c>
      <c r="K6" t="str">
        <f ca="1"/>
        <v>Sonali Jesudason, Eliza Rayner, Sophia Figueroa</v>
      </c>
      <c r="L6" t="str">
        <f ca="1"/>
        <v>5 (Sonali Jesudason, Eliza Rayner, Sophia Figueroa)</v>
      </c>
      <c r="M6" t="str">
        <f ca="1"/>
        <v>Win</v>
      </c>
      <c r="N6" t="str">
        <f ca="1"/>
        <v/>
      </c>
      <c r="O6" t="str">
        <f ca="1"/>
        <v/>
      </c>
      <c r="P6" t="str">
        <f ca="1"/>
        <v/>
      </c>
      <c r="Q6" s="13" t="str">
        <f ca="1"/>
        <v/>
      </c>
      <c r="R6" s="13" t="str">
        <f ca="1"/>
        <v/>
      </c>
      <c r="S6" s="14">
        <f ca="1"/>
        <v>1</v>
      </c>
      <c r="T6">
        <f ca="1"/>
        <v>3</v>
      </c>
      <c r="U6">
        <f ca="1"/>
        <v>225</v>
      </c>
      <c r="V6" t="str">
        <f ca="1"/>
        <v>9 (Tom Kavanagh, Declan Clarke, Lang Lu)</v>
      </c>
      <c r="W6" t="str">
        <f ca="1"/>
        <v>Loss</v>
      </c>
      <c r="X6" t="str">
        <f ca="1"/>
        <v>Win</v>
      </c>
      <c r="Y6" t="str">
        <f ca="1"/>
        <v/>
      </c>
      <c r="Z6" t="str">
        <f ca="1"/>
        <v/>
      </c>
      <c r="AA6" t="str">
        <f ca="1"/>
        <v/>
      </c>
      <c r="AB6" t="str">
        <f ca="1"/>
        <v/>
      </c>
      <c r="AC6">
        <f ca="1"/>
        <v>1</v>
      </c>
      <c r="AD6">
        <f ca="1"/>
        <v>1</v>
      </c>
      <c r="AE6">
        <f ca="1"/>
        <v>219.5</v>
      </c>
    </row>
    <row r="7" spans="1:33" x14ac:dyDescent="0.3">
      <c r="A7">
        <f ca="1"/>
        <v>6</v>
      </c>
      <c r="B7" t="str">
        <f ca="1"/>
        <v/>
      </c>
      <c r="C7" s="13" t="str">
        <f ca="1"/>
        <v/>
      </c>
      <c r="D7" s="13" t="str">
        <f ca="1"/>
        <v/>
      </c>
      <c r="E7" s="13" t="str">
        <f ca="1"/>
        <v/>
      </c>
      <c r="F7" s="13" t="str">
        <f ca="1"/>
        <v/>
      </c>
      <c r="G7" t="str">
        <f ca="1"/>
        <v/>
      </c>
      <c r="H7">
        <f ca="1"/>
        <v>0</v>
      </c>
      <c r="I7">
        <f ca="1"/>
        <v>0</v>
      </c>
      <c r="J7">
        <f ca="1"/>
        <v>0</v>
      </c>
      <c r="K7" t="str">
        <f ca="1"/>
        <v>Max Stewart, Aaryan Goriyaan, Korou Tonjam</v>
      </c>
      <c r="L7" t="str">
        <f ca="1"/>
        <v>6 (Max Stewart, Aaryan Goriyaan, Korou Tonjam)</v>
      </c>
      <c r="M7" t="str">
        <f ca="1"/>
        <v/>
      </c>
      <c r="N7" t="str">
        <f ca="1"/>
        <v/>
      </c>
      <c r="O7" t="str">
        <f ca="1"/>
        <v/>
      </c>
      <c r="P7" t="str">
        <f ca="1"/>
        <v/>
      </c>
      <c r="Q7" s="13" t="str">
        <f ca="1"/>
        <v/>
      </c>
      <c r="R7" s="13" t="str">
        <f ca="1"/>
        <v/>
      </c>
      <c r="S7" s="14">
        <f ca="1"/>
        <v>0</v>
      </c>
      <c r="T7">
        <f ca="1"/>
        <v>0</v>
      </c>
      <c r="U7">
        <f ca="1"/>
        <v>0</v>
      </c>
      <c r="V7" t="str">
        <f ca="1"/>
        <v>11 (Aadi Malhorta, Michael Deng, Kerry Yao, William Prosser)</v>
      </c>
      <c r="W7" t="str">
        <f ca="1"/>
        <v>Win</v>
      </c>
      <c r="X7" t="str">
        <f ca="1"/>
        <v>Loss</v>
      </c>
      <c r="Y7" t="str">
        <f ca="1"/>
        <v/>
      </c>
      <c r="Z7" t="str">
        <f ca="1"/>
        <v/>
      </c>
      <c r="AA7" t="str">
        <f ca="1"/>
        <v/>
      </c>
      <c r="AB7" t="str">
        <f ca="1"/>
        <v/>
      </c>
      <c r="AC7">
        <f ca="1"/>
        <v>1</v>
      </c>
      <c r="AD7">
        <f ca="1"/>
        <v>1</v>
      </c>
      <c r="AE7">
        <f ca="1"/>
        <v>219.5</v>
      </c>
    </row>
    <row r="8" spans="1:33" x14ac:dyDescent="0.3">
      <c r="A8">
        <f ca="1"/>
        <v>7</v>
      </c>
      <c r="B8" t="str">
        <f ca="1"/>
        <v>Loss</v>
      </c>
      <c r="C8" s="13" t="str">
        <f ca="1"/>
        <v>Win</v>
      </c>
      <c r="D8" s="13" t="str">
        <f ca="1"/>
        <v/>
      </c>
      <c r="E8" s="13" t="str">
        <f ca="1"/>
        <v/>
      </c>
      <c r="F8" s="13" t="str">
        <f ca="1"/>
        <v/>
      </c>
      <c r="G8" t="str">
        <f ca="1"/>
        <v/>
      </c>
      <c r="H8">
        <f ca="1"/>
        <v>1</v>
      </c>
      <c r="I8">
        <f ca="1"/>
        <v>1</v>
      </c>
      <c r="J8">
        <f ca="1"/>
        <v>224</v>
      </c>
      <c r="K8" t="str">
        <f ca="1"/>
        <v>Ava Stewart, Seraphina Zhang, Emily Lai</v>
      </c>
      <c r="L8" t="str">
        <f ca="1"/>
        <v>7 (Ava Stewart, Seraphina Zhang, Emily Lai)</v>
      </c>
      <c r="M8" t="str">
        <f ca="1"/>
        <v>Loss</v>
      </c>
      <c r="N8" t="str">
        <f ca="1"/>
        <v>Win</v>
      </c>
      <c r="O8" t="str">
        <f ca="1"/>
        <v/>
      </c>
      <c r="P8" t="str">
        <f ca="1"/>
        <v/>
      </c>
      <c r="Q8" s="13" t="str">
        <f ca="1"/>
        <v/>
      </c>
      <c r="R8" s="13" t="str">
        <f ca="1"/>
        <v/>
      </c>
      <c r="S8" s="14">
        <f ca="1"/>
        <v>1</v>
      </c>
      <c r="T8">
        <f ca="1"/>
        <v>1</v>
      </c>
      <c r="U8">
        <f ca="1"/>
        <v>224</v>
      </c>
      <c r="V8" t="str">
        <f ca="1"/>
        <v>1 (Yifan Sun, Shengyin Bai, Yifei Wang, Chengdong Wu)</v>
      </c>
      <c r="W8" t="str">
        <f ca="1"/>
        <v>Loss</v>
      </c>
      <c r="X8" t="str">
        <f ca="1"/>
        <v>Loss</v>
      </c>
      <c r="Y8" t="str">
        <f ca="1"/>
        <v/>
      </c>
      <c r="Z8" t="str">
        <f ca="1"/>
        <v/>
      </c>
      <c r="AA8" t="str">
        <f ca="1"/>
        <v/>
      </c>
      <c r="AB8" t="str">
        <f ca="1"/>
        <v/>
      </c>
      <c r="AC8">
        <f ca="1"/>
        <v>0</v>
      </c>
      <c r="AD8">
        <f ca="1"/>
        <v>0</v>
      </c>
      <c r="AE8">
        <f ca="1"/>
        <v>0</v>
      </c>
    </row>
    <row r="9" spans="1:33" x14ac:dyDescent="0.3">
      <c r="A9">
        <f ca="1"/>
        <v>8</v>
      </c>
      <c r="B9" t="str">
        <f ca="1"/>
        <v/>
      </c>
      <c r="C9" s="13" t="str">
        <f ca="1"/>
        <v/>
      </c>
      <c r="D9" s="13" t="str">
        <f ca="1"/>
        <v/>
      </c>
      <c r="E9" s="13" t="str">
        <f ca="1"/>
        <v/>
      </c>
      <c r="F9" s="13" t="str">
        <f ca="1"/>
        <v/>
      </c>
      <c r="G9" t="str">
        <f ca="1"/>
        <v/>
      </c>
      <c r="H9">
        <f ca="1"/>
        <v>0</v>
      </c>
      <c r="I9">
        <f ca="1"/>
        <v>0</v>
      </c>
      <c r="J9">
        <f ca="1"/>
        <v>0</v>
      </c>
      <c r="K9" t="str">
        <f ca="1"/>
        <v>Isabella Teague, Janice Stanzah, Syme Aftab</v>
      </c>
      <c r="L9" t="str">
        <f ca="1"/>
        <v>8 (Isabella Teague, Janice Stanzah, Syme Aftab)</v>
      </c>
      <c r="M9" t="str">
        <f ca="1"/>
        <v/>
      </c>
      <c r="N9" t="str">
        <f ca="1"/>
        <v/>
      </c>
      <c r="O9" t="str">
        <f ca="1"/>
        <v/>
      </c>
      <c r="P9" t="str">
        <f ca="1"/>
        <v/>
      </c>
      <c r="Q9" s="13" t="str">
        <f ca="1"/>
        <v/>
      </c>
      <c r="R9" s="13" t="str">
        <f ca="1"/>
        <v/>
      </c>
      <c r="S9" s="14">
        <f ca="1"/>
        <v>0</v>
      </c>
      <c r="T9">
        <f ca="1"/>
        <v>0</v>
      </c>
      <c r="U9">
        <f ca="1"/>
        <v>0</v>
      </c>
      <c r="V9" t="str">
        <f ca="1"/>
        <v>2 (Harry Elliott, Sam Button, Oliver Hooper)</v>
      </c>
      <c r="W9" t="str">
        <f ca="1"/>
        <v>Loss</v>
      </c>
      <c r="X9" t="str">
        <f ca="1"/>
        <v>Loss</v>
      </c>
      <c r="Y9" t="str">
        <f ca="1"/>
        <v/>
      </c>
      <c r="Z9" t="str">
        <f ca="1"/>
        <v/>
      </c>
      <c r="AA9" t="str">
        <f ca="1"/>
        <v/>
      </c>
      <c r="AB9" t="str">
        <f ca="1"/>
        <v/>
      </c>
      <c r="AC9">
        <f ca="1"/>
        <v>0</v>
      </c>
      <c r="AD9">
        <f ca="1"/>
        <v>0</v>
      </c>
      <c r="AE9">
        <f ca="1"/>
        <v>0</v>
      </c>
    </row>
    <row r="10" spans="1:33" x14ac:dyDescent="0.3">
      <c r="A10">
        <f ca="1"/>
        <v>9</v>
      </c>
      <c r="B10" t="str">
        <f ca="1"/>
        <v>Loss</v>
      </c>
      <c r="C10" s="13" t="str">
        <f ca="1"/>
        <v>Win</v>
      </c>
      <c r="D10" s="13" t="str">
        <f ca="1"/>
        <v/>
      </c>
      <c r="E10" s="13" t="str">
        <f ca="1"/>
        <v/>
      </c>
      <c r="F10" s="13" t="str">
        <f ca="1"/>
        <v/>
      </c>
      <c r="G10" t="str">
        <f ca="1"/>
        <v/>
      </c>
      <c r="H10">
        <f ca="1"/>
        <v>1</v>
      </c>
      <c r="I10">
        <f ca="1"/>
        <v>1</v>
      </c>
      <c r="J10">
        <f ca="1"/>
        <v>219.5</v>
      </c>
      <c r="K10" t="str">
        <f ca="1"/>
        <v>Tom Kavanagh, Declan Clarke, Lang Lu</v>
      </c>
      <c r="L10" t="str">
        <f ca="1"/>
        <v>9 (Tom Kavanagh, Declan Clarke, Lang Lu)</v>
      </c>
      <c r="M10" t="str">
        <f ca="1"/>
        <v>Loss</v>
      </c>
      <c r="N10" t="str">
        <f ca="1"/>
        <v>Win</v>
      </c>
      <c r="O10" t="str">
        <f ca="1"/>
        <v/>
      </c>
      <c r="P10" t="str">
        <f ca="1"/>
        <v/>
      </c>
      <c r="Q10" s="13" t="str">
        <f ca="1"/>
        <v/>
      </c>
      <c r="R10" s="13" t="str">
        <f ca="1"/>
        <v/>
      </c>
      <c r="S10" s="14">
        <f ca="1"/>
        <v>1</v>
      </c>
      <c r="T10">
        <f ca="1"/>
        <v>1</v>
      </c>
      <c r="U10">
        <f ca="1"/>
        <v>219.5</v>
      </c>
      <c r="V10" t="str">
        <f ca="1"/>
        <v>3 (Amy Zander, Roan Bird, Colette Le)</v>
      </c>
      <c r="W10" t="str">
        <f ca="1"/>
        <v/>
      </c>
      <c r="X10" t="str">
        <f ca="1"/>
        <v>Loss</v>
      </c>
      <c r="Y10" t="str">
        <f ca="1"/>
        <v/>
      </c>
      <c r="Z10" t="str">
        <f ca="1"/>
        <v/>
      </c>
      <c r="AA10" t="str">
        <f ca="1"/>
        <v/>
      </c>
      <c r="AB10" t="str">
        <f ca="1"/>
        <v/>
      </c>
      <c r="AC10">
        <f ca="1"/>
        <v>0</v>
      </c>
      <c r="AD10">
        <f ca="1"/>
        <v>0</v>
      </c>
      <c r="AE10">
        <f ca="1"/>
        <v>0</v>
      </c>
    </row>
    <row r="11" spans="1:33" x14ac:dyDescent="0.3">
      <c r="A11">
        <f ca="1"/>
        <v>10</v>
      </c>
      <c r="B11" t="str">
        <f ca="1"/>
        <v>Win</v>
      </c>
      <c r="C11" s="13" t="str">
        <f ca="1"/>
        <v>Win</v>
      </c>
      <c r="D11" s="13" t="str">
        <f ca="1"/>
        <v/>
      </c>
      <c r="E11" s="13" t="str">
        <f ca="1"/>
        <v/>
      </c>
      <c r="F11" s="13" t="str">
        <f ca="1"/>
        <v/>
      </c>
      <c r="G11" t="str">
        <f ca="1"/>
        <v/>
      </c>
      <c r="H11">
        <f ca="1"/>
        <v>2</v>
      </c>
      <c r="I11">
        <f ca="1"/>
        <v>4.5</v>
      </c>
      <c r="J11">
        <f ca="1"/>
        <v>230</v>
      </c>
      <c r="K11" t="str">
        <f ca="1"/>
        <v>Jess Zhang, Oliver Kleinig,  Silas Hansch-Maher</v>
      </c>
      <c r="L11" t="str">
        <f ca="1"/>
        <v>10 (Jess Zhang, Oliver Kleinig,  Silas Hansch-Maher)</v>
      </c>
      <c r="M11" t="str">
        <f ca="1"/>
        <v>Win</v>
      </c>
      <c r="N11" t="str">
        <f ca="1"/>
        <v>Win</v>
      </c>
      <c r="O11" t="str">
        <f ca="1"/>
        <v/>
      </c>
      <c r="P11" t="str">
        <f ca="1"/>
        <v/>
      </c>
      <c r="Q11" s="13" t="str">
        <f ca="1"/>
        <v/>
      </c>
      <c r="R11" s="13" t="str">
        <f ca="1"/>
        <v/>
      </c>
      <c r="S11" s="14">
        <f ca="1"/>
        <v>2</v>
      </c>
      <c r="T11">
        <f ca="1"/>
        <v>4.5</v>
      </c>
      <c r="U11">
        <f ca="1"/>
        <v>230</v>
      </c>
      <c r="V11" t="str">
        <f ca="1"/>
        <v>6 (Max Stewart, Aaryan Goriyaan, Korou Tonjam)</v>
      </c>
      <c r="W11" t="str">
        <f ca="1"/>
        <v/>
      </c>
      <c r="X11" t="str">
        <f ca="1"/>
        <v/>
      </c>
      <c r="Y11" t="str">
        <f ca="1"/>
        <v/>
      </c>
      <c r="Z11" t="str">
        <f ca="1"/>
        <v/>
      </c>
      <c r="AA11" t="str">
        <f ca="1"/>
        <v/>
      </c>
      <c r="AB11" t="str">
        <f ca="1"/>
        <v/>
      </c>
      <c r="AC11">
        <f ca="1"/>
        <v>0</v>
      </c>
      <c r="AD11">
        <f ca="1"/>
        <v>0</v>
      </c>
      <c r="AE11">
        <f ca="1"/>
        <v>0</v>
      </c>
    </row>
    <row r="12" spans="1:33" x14ac:dyDescent="0.3">
      <c r="A12">
        <f ca="1"/>
        <v>11</v>
      </c>
      <c r="B12" t="str">
        <f ca="1"/>
        <v>Win</v>
      </c>
      <c r="C12" s="13" t="str">
        <f ca="1"/>
        <v>Loss</v>
      </c>
      <c r="D12" s="13" t="str">
        <f ca="1"/>
        <v/>
      </c>
      <c r="E12" s="13" t="str">
        <f ca="1"/>
        <v/>
      </c>
      <c r="F12" s="13" t="str">
        <f ca="1"/>
        <v/>
      </c>
      <c r="G12" t="str">
        <f ca="1"/>
        <v/>
      </c>
      <c r="H12">
        <f ca="1"/>
        <v>1</v>
      </c>
      <c r="I12">
        <f ca="1"/>
        <v>1</v>
      </c>
      <c r="J12">
        <f ca="1"/>
        <v>219.5</v>
      </c>
      <c r="K12" t="str">
        <f ca="1"/>
        <v>Aadi Malhorta, Michael Deng, Kerry Yao, William Prosser</v>
      </c>
      <c r="L12" t="str">
        <f ca="1"/>
        <v>11 (Aadi Malhorta, Michael Deng, Kerry Yao, William Prosser)</v>
      </c>
      <c r="M12" t="str">
        <f ca="1"/>
        <v>Win</v>
      </c>
      <c r="N12" t="str">
        <f ca="1"/>
        <v>Loss</v>
      </c>
      <c r="O12" t="str">
        <f ca="1"/>
        <v/>
      </c>
      <c r="P12" t="str">
        <f ca="1"/>
        <v/>
      </c>
      <c r="Q12" s="13" t="str">
        <f ca="1"/>
        <v/>
      </c>
      <c r="R12" s="13" t="str">
        <f ca="1"/>
        <v/>
      </c>
      <c r="S12" s="14">
        <f ca="1"/>
        <v>1</v>
      </c>
      <c r="T12">
        <f ca="1"/>
        <v>1</v>
      </c>
      <c r="U12">
        <f ca="1"/>
        <v>219.5</v>
      </c>
      <c r="V12" t="str">
        <f ca="1"/>
        <v>8 (Isabella Teague, Janice Stanzah, Syme Aftab)</v>
      </c>
      <c r="W12" t="str">
        <f ca="1"/>
        <v/>
      </c>
      <c r="X12" t="str">
        <f ca="1"/>
        <v/>
      </c>
      <c r="Y12" t="str">
        <f ca="1"/>
        <v/>
      </c>
      <c r="Z12" t="str">
        <f ca="1"/>
        <v/>
      </c>
      <c r="AA12" t="str">
        <f ca="1"/>
        <v/>
      </c>
      <c r="AB12" t="str">
        <f ca="1"/>
        <v/>
      </c>
      <c r="AC12">
        <f ca="1"/>
        <v>0</v>
      </c>
      <c r="AD12">
        <f ca="1"/>
        <v>0</v>
      </c>
      <c r="AE12">
        <f ca="1"/>
        <v>0</v>
      </c>
    </row>
    <row r="13" spans="1:33" x14ac:dyDescent="0.3">
      <c r="C13" s="13"/>
      <c r="D13" s="13"/>
      <c r="E13" s="13"/>
      <c r="F13" s="13"/>
      <c r="Q13" s="13"/>
      <c r="R13" s="13"/>
      <c r="S13" s="14"/>
    </row>
    <row r="14" spans="1:33" x14ac:dyDescent="0.3">
      <c r="C14" s="13"/>
      <c r="D14" s="13"/>
      <c r="E14" s="13"/>
      <c r="F14" s="13"/>
      <c r="Q14" s="13"/>
      <c r="R14" s="13"/>
      <c r="S14" s="14"/>
    </row>
    <row r="15" spans="1:33" x14ac:dyDescent="0.3">
      <c r="C15" s="13"/>
      <c r="D15" s="13"/>
      <c r="E15" s="13"/>
      <c r="F15" s="13"/>
      <c r="Q15" s="13"/>
      <c r="R15" s="13"/>
      <c r="S15" s="14"/>
    </row>
    <row r="16" spans="1:33" x14ac:dyDescent="0.3">
      <c r="C16" s="13"/>
      <c r="D16" s="13"/>
      <c r="E16" s="13"/>
      <c r="F16" s="13"/>
      <c r="Q16" s="13"/>
      <c r="R16" s="13"/>
      <c r="S16" s="14"/>
    </row>
    <row r="17" spans="3:19" x14ac:dyDescent="0.3">
      <c r="C17" s="13"/>
      <c r="D17" s="13"/>
      <c r="E17" s="13"/>
      <c r="F17" s="13"/>
      <c r="Q17" s="13"/>
      <c r="R17" s="13"/>
      <c r="S17" s="14"/>
    </row>
    <row r="18" spans="3:19" x14ac:dyDescent="0.3">
      <c r="C18" s="13"/>
      <c r="D18" s="13"/>
      <c r="E18" s="13"/>
      <c r="F18" s="13"/>
      <c r="S18" s="15"/>
    </row>
    <row r="19" spans="3:19" x14ac:dyDescent="0.3">
      <c r="C19" s="13"/>
      <c r="D19" s="13"/>
      <c r="E19" s="13"/>
      <c r="F19" s="13"/>
      <c r="S19" s="15"/>
    </row>
    <row r="20" spans="3:19" x14ac:dyDescent="0.3">
      <c r="C20" s="13"/>
      <c r="D20" s="13"/>
      <c r="E20" s="13"/>
      <c r="F20" s="13"/>
      <c r="S20" s="15"/>
    </row>
    <row r="21" spans="3:19" x14ac:dyDescent="0.3">
      <c r="C21" s="13"/>
      <c r="D21" s="13"/>
      <c r="E21" s="13"/>
      <c r="F21" s="13"/>
      <c r="S21" s="15"/>
    </row>
    <row r="22" spans="3:19" x14ac:dyDescent="0.3">
      <c r="C22" s="13"/>
      <c r="D22" s="13"/>
      <c r="E22" s="13"/>
      <c r="F22" s="13"/>
      <c r="S22" s="15"/>
    </row>
    <row r="23" spans="3:19" x14ac:dyDescent="0.3">
      <c r="C23" s="13"/>
      <c r="D23" s="13"/>
      <c r="E23" s="13"/>
      <c r="F23" s="13"/>
    </row>
    <row r="24" spans="3:19" x14ac:dyDescent="0.3">
      <c r="C24" s="13"/>
      <c r="D24" s="13"/>
      <c r="E24" s="13"/>
      <c r="F24" s="13"/>
    </row>
    <row r="25" spans="3:19" x14ac:dyDescent="0.3">
      <c r="C25" s="13"/>
      <c r="D25" s="13"/>
      <c r="E25" s="13"/>
      <c r="F25" s="13"/>
    </row>
    <row r="26" spans="3:19" x14ac:dyDescent="0.3">
      <c r="C26" s="13"/>
      <c r="D26" s="13"/>
      <c r="E26" s="13"/>
      <c r="F26" s="13"/>
    </row>
    <row r="27" spans="3:19" x14ac:dyDescent="0.3">
      <c r="C27" s="13"/>
      <c r="D27" s="13"/>
      <c r="E27" s="13"/>
      <c r="F27" s="13"/>
    </row>
    <row r="28" spans="3:19" x14ac:dyDescent="0.3">
      <c r="C28" s="13"/>
      <c r="D28" s="13"/>
      <c r="E28" s="13"/>
      <c r="F28" s="13"/>
    </row>
    <row r="29" spans="3:19" x14ac:dyDescent="0.3">
      <c r="C29" s="13"/>
      <c r="D29" s="13"/>
      <c r="E29" s="13"/>
      <c r="F29" s="13"/>
    </row>
    <row r="30" spans="3:19" x14ac:dyDescent="0.3">
      <c r="C30" s="13"/>
      <c r="D30" s="13"/>
      <c r="E30" s="13"/>
      <c r="F30" s="13"/>
    </row>
    <row r="31" spans="3:19" x14ac:dyDescent="0.3">
      <c r="C31" s="13"/>
      <c r="D31" s="13"/>
      <c r="E31" s="13"/>
      <c r="F31" s="13"/>
    </row>
    <row r="32" spans="3:19" x14ac:dyDescent="0.3">
      <c r="C32" s="13"/>
      <c r="D32" s="13"/>
      <c r="E32" s="13"/>
      <c r="F32" s="13"/>
    </row>
    <row r="33" spans="3:6" x14ac:dyDescent="0.3">
      <c r="C33" s="13"/>
      <c r="D33" s="13"/>
      <c r="E33" s="13"/>
      <c r="F33" s="13"/>
    </row>
    <row r="34" spans="3:6" x14ac:dyDescent="0.3">
      <c r="C34" s="13"/>
      <c r="D34" s="13"/>
      <c r="E34" s="13"/>
      <c r="F34" s="13"/>
    </row>
    <row r="35" spans="3:6" x14ac:dyDescent="0.3">
      <c r="C35" s="13"/>
      <c r="D35" s="13"/>
      <c r="E35" s="13"/>
      <c r="F35" s="13"/>
    </row>
    <row r="36" spans="3:6" x14ac:dyDescent="0.3">
      <c r="C36" s="13"/>
      <c r="D36" s="13"/>
      <c r="E36" s="13"/>
      <c r="F36" s="13"/>
    </row>
    <row r="37" spans="3:6" x14ac:dyDescent="0.3">
      <c r="C37" s="13"/>
      <c r="D37" s="13"/>
      <c r="E37" s="13"/>
      <c r="F37" s="13"/>
    </row>
    <row r="38" spans="3:6" x14ac:dyDescent="0.3">
      <c r="C38" s="13"/>
      <c r="D38" s="13"/>
      <c r="E38" s="13"/>
      <c r="F38" s="13"/>
    </row>
    <row r="39" spans="3:6" x14ac:dyDescent="0.3">
      <c r="C39" s="13"/>
      <c r="D39" s="13"/>
      <c r="E39" s="13"/>
      <c r="F39" s="13"/>
    </row>
    <row r="40" spans="3:6" x14ac:dyDescent="0.3">
      <c r="C40" s="13"/>
      <c r="D40" s="13"/>
      <c r="E40" s="13"/>
      <c r="F40" s="13"/>
    </row>
    <row r="41" spans="3:6" x14ac:dyDescent="0.3">
      <c r="C41" s="13"/>
      <c r="D41" s="13"/>
      <c r="E41" s="13"/>
      <c r="F41" s="13"/>
    </row>
    <row r="42" spans="3:6" x14ac:dyDescent="0.3">
      <c r="C42" s="13"/>
      <c r="D42" s="13"/>
      <c r="E42" s="13"/>
      <c r="F42" s="13"/>
    </row>
    <row r="43" spans="3:6" x14ac:dyDescent="0.3">
      <c r="C43" s="13"/>
      <c r="D43" s="13"/>
      <c r="E43" s="13"/>
      <c r="F43" s="13"/>
    </row>
    <row r="44" spans="3:6" x14ac:dyDescent="0.3">
      <c r="C44" s="13"/>
      <c r="D44" s="13"/>
      <c r="E44" s="13"/>
      <c r="F44" s="13"/>
    </row>
    <row r="45" spans="3:6" x14ac:dyDescent="0.3">
      <c r="C45" s="13"/>
      <c r="D45" s="13"/>
      <c r="E45" s="13"/>
      <c r="F45" s="13"/>
    </row>
    <row r="46" spans="3:6" x14ac:dyDescent="0.3">
      <c r="C46" s="13"/>
      <c r="D46" s="13"/>
      <c r="E46" s="13"/>
      <c r="F46" s="13"/>
    </row>
    <row r="47" spans="3:6" x14ac:dyDescent="0.3">
      <c r="C47" s="13"/>
      <c r="D47" s="13"/>
      <c r="E47" s="13"/>
      <c r="F47" s="13"/>
    </row>
    <row r="48" spans="3:6" x14ac:dyDescent="0.3">
      <c r="C48" s="13"/>
      <c r="D48" s="13"/>
      <c r="E48" s="13"/>
      <c r="F48" s="13"/>
    </row>
    <row r="49" spans="3:6" x14ac:dyDescent="0.3">
      <c r="C49" s="13"/>
      <c r="D49" s="13"/>
      <c r="E49" s="13"/>
      <c r="F49" s="13"/>
    </row>
    <row r="50" spans="3:6" x14ac:dyDescent="0.3">
      <c r="C50" s="13"/>
      <c r="D50" s="13"/>
      <c r="E50" s="13"/>
      <c r="F50" s="13"/>
    </row>
    <row r="51" spans="3:6" x14ac:dyDescent="0.3">
      <c r="C51" s="13"/>
      <c r="D51" s="13"/>
      <c r="E51" s="13"/>
      <c r="F51" s="13"/>
    </row>
    <row r="52" spans="3:6" x14ac:dyDescent="0.3">
      <c r="C52" s="13"/>
      <c r="D52" s="13"/>
      <c r="E52" s="13"/>
      <c r="F52" s="13"/>
    </row>
    <row r="53" spans="3:6" x14ac:dyDescent="0.3">
      <c r="C53" s="13"/>
      <c r="D53" s="13"/>
      <c r="E53" s="13"/>
      <c r="F53" s="13"/>
    </row>
    <row r="54" spans="3:6" x14ac:dyDescent="0.3">
      <c r="C54" s="13"/>
      <c r="D54" s="13"/>
      <c r="E54" s="13"/>
      <c r="F54" s="13"/>
    </row>
    <row r="55" spans="3:6" x14ac:dyDescent="0.3">
      <c r="C55" s="13"/>
      <c r="D55" s="13"/>
      <c r="E55" s="13"/>
      <c r="F55" s="13"/>
    </row>
    <row r="56" spans="3:6" x14ac:dyDescent="0.3">
      <c r="C56" s="13"/>
      <c r="D56" s="13"/>
      <c r="E56" s="13"/>
      <c r="F56" s="13"/>
    </row>
    <row r="57" spans="3:6" x14ac:dyDescent="0.3">
      <c r="C57" s="13"/>
      <c r="D57" s="13"/>
      <c r="E57" s="13"/>
      <c r="F57" s="13"/>
    </row>
    <row r="58" spans="3:6" x14ac:dyDescent="0.3">
      <c r="C58" s="13"/>
      <c r="D58" s="13"/>
      <c r="E58" s="13"/>
      <c r="F58" s="13"/>
    </row>
    <row r="59" spans="3:6" x14ac:dyDescent="0.3">
      <c r="C59" s="13"/>
      <c r="D59" s="13"/>
      <c r="E59" s="13"/>
      <c r="F59" s="13"/>
    </row>
    <row r="60" spans="3:6" x14ac:dyDescent="0.3">
      <c r="C60" s="13"/>
      <c r="D60" s="13"/>
      <c r="E60" s="13"/>
      <c r="F60" s="13"/>
    </row>
    <row r="61" spans="3:6" x14ac:dyDescent="0.3">
      <c r="C61" s="13"/>
      <c r="D61" s="13"/>
      <c r="E61" s="13"/>
      <c r="F61" s="13"/>
    </row>
    <row r="62" spans="3:6" x14ac:dyDescent="0.3">
      <c r="C62" s="13"/>
      <c r="D62" s="13"/>
      <c r="E62" s="13"/>
      <c r="F62" s="13"/>
    </row>
    <row r="63" spans="3:6" x14ac:dyDescent="0.3">
      <c r="C63" s="13"/>
      <c r="D63" s="13"/>
      <c r="E63" s="13"/>
      <c r="F63" s="13"/>
    </row>
    <row r="64" spans="3:6" x14ac:dyDescent="0.3">
      <c r="C64" s="13"/>
      <c r="D64" s="13"/>
      <c r="E64" s="13"/>
      <c r="F64" s="13"/>
    </row>
    <row r="65" spans="3:6" x14ac:dyDescent="0.3">
      <c r="C65" s="13"/>
      <c r="D65" s="13"/>
      <c r="E65" s="13"/>
      <c r="F65" s="13"/>
    </row>
    <row r="66" spans="3:6" x14ac:dyDescent="0.3">
      <c r="C66" s="13"/>
      <c r="D66" s="13"/>
      <c r="E66" s="13"/>
      <c r="F66" s="13"/>
    </row>
    <row r="67" spans="3:6" x14ac:dyDescent="0.3">
      <c r="C67" s="13"/>
      <c r="D67" s="13"/>
      <c r="E67" s="13"/>
      <c r="F67" s="13"/>
    </row>
    <row r="68" spans="3:6" x14ac:dyDescent="0.3">
      <c r="C68" s="13"/>
      <c r="D68" s="13"/>
      <c r="E68" s="13"/>
      <c r="F68" s="13"/>
    </row>
    <row r="69" spans="3:6" x14ac:dyDescent="0.3">
      <c r="C69" s="13"/>
      <c r="D69" s="13"/>
      <c r="E69" s="13"/>
      <c r="F69" s="13"/>
    </row>
    <row r="70" spans="3:6" x14ac:dyDescent="0.3">
      <c r="C70" s="13"/>
      <c r="D70" s="13"/>
      <c r="E70" s="13"/>
      <c r="F70" s="13"/>
    </row>
    <row r="71" spans="3:6" x14ac:dyDescent="0.3">
      <c r="C71" s="13"/>
      <c r="D71" s="13"/>
      <c r="E71" s="13"/>
      <c r="F71" s="13"/>
    </row>
    <row r="72" spans="3:6" x14ac:dyDescent="0.3">
      <c r="C72" s="13"/>
      <c r="D72" s="13"/>
      <c r="E72" s="13"/>
      <c r="F72" s="13"/>
    </row>
    <row r="73" spans="3:6" x14ac:dyDescent="0.3">
      <c r="C73" s="13"/>
      <c r="D73" s="13"/>
      <c r="E73" s="13"/>
      <c r="F73" s="13"/>
    </row>
    <row r="74" spans="3:6" x14ac:dyDescent="0.3">
      <c r="C74" s="13"/>
      <c r="D74" s="13"/>
      <c r="E74" s="13"/>
      <c r="F74" s="13"/>
    </row>
    <row r="75" spans="3:6" x14ac:dyDescent="0.3">
      <c r="C75" s="13"/>
      <c r="D75" s="13"/>
      <c r="E75" s="13"/>
      <c r="F75" s="13"/>
    </row>
    <row r="76" spans="3:6" x14ac:dyDescent="0.3">
      <c r="C76" s="13"/>
      <c r="D76" s="13"/>
      <c r="E76" s="13"/>
      <c r="F76" s="13"/>
    </row>
    <row r="77" spans="3:6" x14ac:dyDescent="0.3">
      <c r="C77" s="13"/>
      <c r="D77" s="13"/>
      <c r="E77" s="13"/>
      <c r="F77" s="13"/>
    </row>
    <row r="78" spans="3:6" x14ac:dyDescent="0.3">
      <c r="C78" s="13"/>
      <c r="D78" s="13"/>
      <c r="E78" s="13"/>
      <c r="F78" s="13"/>
    </row>
    <row r="79" spans="3:6" x14ac:dyDescent="0.3">
      <c r="C79" s="13"/>
      <c r="D79" s="13"/>
      <c r="E79" s="13"/>
      <c r="F79" s="13"/>
    </row>
    <row r="80" spans="3:6" x14ac:dyDescent="0.3">
      <c r="C80" s="13"/>
      <c r="D80" s="13"/>
      <c r="E80" s="13"/>
      <c r="F80" s="13"/>
    </row>
    <row r="81" spans="3:6" x14ac:dyDescent="0.3">
      <c r="C81" s="13"/>
      <c r="D81" s="13"/>
      <c r="E81" s="13"/>
      <c r="F81" s="13"/>
    </row>
    <row r="82" spans="3:6" x14ac:dyDescent="0.3">
      <c r="C82" s="13"/>
      <c r="D82" s="13"/>
      <c r="E82" s="13"/>
      <c r="F82" s="13"/>
    </row>
    <row r="83" spans="3:6" x14ac:dyDescent="0.3">
      <c r="C83" s="13"/>
      <c r="D83" s="13"/>
      <c r="E83" s="13"/>
      <c r="F83" s="13"/>
    </row>
    <row r="84" spans="3:6" x14ac:dyDescent="0.3">
      <c r="C84" s="13"/>
      <c r="D84" s="13"/>
      <c r="E84" s="13"/>
      <c r="F84" s="13"/>
    </row>
    <row r="85" spans="3:6" x14ac:dyDescent="0.3">
      <c r="C85" s="13"/>
      <c r="D85" s="13"/>
      <c r="E85" s="13"/>
      <c r="F85" s="13"/>
    </row>
    <row r="86" spans="3:6" x14ac:dyDescent="0.3">
      <c r="C86" s="13"/>
      <c r="D86" s="13"/>
      <c r="E86" s="13"/>
      <c r="F86" s="13"/>
    </row>
    <row r="87" spans="3:6" x14ac:dyDescent="0.3">
      <c r="C87" s="13"/>
      <c r="D87" s="13"/>
      <c r="E87" s="13"/>
      <c r="F87" s="13"/>
    </row>
    <row r="88" spans="3:6" x14ac:dyDescent="0.3">
      <c r="C88" s="13"/>
      <c r="D88" s="13"/>
      <c r="E88" s="13"/>
      <c r="F88" s="13"/>
    </row>
    <row r="89" spans="3:6" x14ac:dyDescent="0.3">
      <c r="C89" s="13"/>
      <c r="D89" s="13"/>
      <c r="E89" s="13"/>
      <c r="F89" s="13"/>
    </row>
    <row r="90" spans="3:6" x14ac:dyDescent="0.3">
      <c r="C90" s="13"/>
      <c r="D90" s="13"/>
      <c r="E90" s="13"/>
      <c r="F90" s="13"/>
    </row>
    <row r="91" spans="3:6" x14ac:dyDescent="0.3">
      <c r="C91" s="13"/>
      <c r="D91" s="13"/>
      <c r="E91" s="13"/>
      <c r="F91" s="13"/>
    </row>
    <row r="92" spans="3:6" x14ac:dyDescent="0.3">
      <c r="C92" s="13"/>
      <c r="D92" s="13"/>
      <c r="E92" s="13"/>
      <c r="F92" s="13"/>
    </row>
    <row r="93" spans="3:6" x14ac:dyDescent="0.3">
      <c r="C93" s="13"/>
      <c r="D93" s="13"/>
      <c r="E93" s="13"/>
      <c r="F93" s="13"/>
    </row>
    <row r="94" spans="3:6" x14ac:dyDescent="0.3">
      <c r="C94" s="13"/>
      <c r="D94" s="13"/>
      <c r="E94" s="13"/>
      <c r="F94" s="13"/>
    </row>
    <row r="95" spans="3:6" x14ac:dyDescent="0.3">
      <c r="C95" s="13"/>
      <c r="D95" s="13"/>
      <c r="E95" s="13"/>
      <c r="F95" s="13"/>
    </row>
    <row r="96" spans="3:6" x14ac:dyDescent="0.3">
      <c r="C96" s="13"/>
      <c r="D96" s="13"/>
      <c r="E96" s="13"/>
      <c r="F96" s="13"/>
    </row>
    <row r="97" spans="3:6" x14ac:dyDescent="0.3">
      <c r="C97" s="13"/>
      <c r="D97" s="13"/>
      <c r="E97" s="13"/>
      <c r="F97" s="13"/>
    </row>
    <row r="98" spans="3:6" x14ac:dyDescent="0.3">
      <c r="C98" s="13"/>
      <c r="D98" s="13"/>
      <c r="E98" s="13"/>
      <c r="F98" s="13"/>
    </row>
    <row r="99" spans="3:6" x14ac:dyDescent="0.3">
      <c r="C99" s="13"/>
      <c r="D99" s="13"/>
      <c r="E99" s="13"/>
      <c r="F99" s="13"/>
    </row>
    <row r="100" spans="3:6" x14ac:dyDescent="0.3">
      <c r="C100" s="13"/>
      <c r="D100" s="13"/>
      <c r="E100" s="13"/>
      <c r="F100" s="13"/>
    </row>
    <row r="101" spans="3:6" x14ac:dyDescent="0.3">
      <c r="C101" s="13"/>
      <c r="D101" s="13"/>
      <c r="E101" s="13"/>
      <c r="F101" s="13"/>
    </row>
    <row r="102" spans="3:6" x14ac:dyDescent="0.3">
      <c r="C102" s="13"/>
      <c r="D102" s="13"/>
      <c r="E102" s="13"/>
      <c r="F102" s="13"/>
    </row>
    <row r="103" spans="3:6" x14ac:dyDescent="0.3">
      <c r="C103" s="13"/>
      <c r="D103" s="13"/>
      <c r="E103" s="13"/>
      <c r="F103" s="13"/>
    </row>
    <row r="104" spans="3:6" x14ac:dyDescent="0.3">
      <c r="C104" s="13"/>
      <c r="D104" s="13"/>
      <c r="E104" s="13"/>
      <c r="F104" s="13"/>
    </row>
    <row r="105" spans="3:6" x14ac:dyDescent="0.3">
      <c r="C105" s="13"/>
      <c r="D105" s="13"/>
      <c r="E105" s="13"/>
      <c r="F105" s="13"/>
    </row>
    <row r="106" spans="3:6" x14ac:dyDescent="0.3">
      <c r="C106" s="13"/>
      <c r="D106" s="13"/>
      <c r="E106" s="13"/>
      <c r="F106" s="13"/>
    </row>
    <row r="107" spans="3:6" x14ac:dyDescent="0.3">
      <c r="C107" s="13"/>
      <c r="D107" s="13"/>
      <c r="E107" s="13"/>
      <c r="F107" s="13"/>
    </row>
    <row r="108" spans="3:6" x14ac:dyDescent="0.3">
      <c r="C108" s="13"/>
      <c r="D108" s="13"/>
      <c r="E108" s="13"/>
      <c r="F108" s="13"/>
    </row>
    <row r="109" spans="3:6" x14ac:dyDescent="0.3">
      <c r="C109" s="13"/>
      <c r="D109" s="13"/>
      <c r="E109" s="13"/>
      <c r="F109" s="13"/>
    </row>
    <row r="110" spans="3:6" x14ac:dyDescent="0.3">
      <c r="C110" s="13"/>
      <c r="D110" s="13"/>
      <c r="E110" s="13"/>
      <c r="F110" s="13"/>
    </row>
    <row r="111" spans="3:6" x14ac:dyDescent="0.3">
      <c r="C111" s="13"/>
      <c r="D111" s="13"/>
      <c r="E111" s="13"/>
      <c r="F111" s="13"/>
    </row>
    <row r="112" spans="3:6" x14ac:dyDescent="0.3">
      <c r="C112" s="13"/>
      <c r="D112" s="13"/>
      <c r="E112" s="13"/>
      <c r="F112" s="13"/>
    </row>
    <row r="113" spans="3:6" x14ac:dyDescent="0.3">
      <c r="C113" s="13"/>
      <c r="D113" s="13"/>
      <c r="E113" s="13"/>
      <c r="F113" s="13"/>
    </row>
    <row r="114" spans="3:6" x14ac:dyDescent="0.3">
      <c r="C114" s="13"/>
      <c r="D114" s="13"/>
      <c r="E114" s="13"/>
      <c r="F114" s="13"/>
    </row>
    <row r="115" spans="3:6" x14ac:dyDescent="0.3">
      <c r="C115" s="13"/>
      <c r="D115" s="13"/>
      <c r="E115" s="13"/>
      <c r="F115" s="13"/>
    </row>
    <row r="116" spans="3:6" x14ac:dyDescent="0.3">
      <c r="C116" s="13"/>
      <c r="D116" s="13"/>
      <c r="E116" s="13"/>
      <c r="F116" s="13"/>
    </row>
    <row r="117" spans="3:6" x14ac:dyDescent="0.3">
      <c r="C117" s="13"/>
      <c r="D117" s="13"/>
      <c r="E117" s="13"/>
      <c r="F117" s="13"/>
    </row>
    <row r="118" spans="3:6" x14ac:dyDescent="0.3">
      <c r="C118" s="13"/>
      <c r="D118" s="13"/>
      <c r="E118" s="13"/>
      <c r="F118" s="13"/>
    </row>
    <row r="119" spans="3:6" x14ac:dyDescent="0.3">
      <c r="C119" s="13"/>
      <c r="D119" s="13"/>
      <c r="E119" s="13"/>
      <c r="F119" s="13"/>
    </row>
    <row r="120" spans="3:6" x14ac:dyDescent="0.3">
      <c r="C120" s="13"/>
      <c r="D120" s="13"/>
      <c r="E120" s="13"/>
      <c r="F120" s="13"/>
    </row>
  </sheetData>
  <sortState xmlns:xlrd2="http://schemas.microsoft.com/office/spreadsheetml/2017/richdata2" ref="M2:T17">
    <sortCondition ref="S2:S17"/>
    <sortCondition descending="1" ref="T2:T17"/>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7FEB5-989F-4D4A-A89F-597A515F64C3}">
  <sheetPr codeName="Sheet23"/>
  <dimension ref="A1:W50"/>
  <sheetViews>
    <sheetView workbookViewId="0">
      <selection activeCell="H21" sqref="H21"/>
    </sheetView>
  </sheetViews>
  <sheetFormatPr defaultColWidth="8.77734375" defaultRowHeight="14.4" x14ac:dyDescent="0.3"/>
  <cols>
    <col min="1" max="1" width="8.77734375" style="16"/>
    <col min="2" max="2" width="48.21875" style="16" bestFit="1" customWidth="1"/>
    <col min="3" max="7" width="10.5546875" style="16" customWidth="1"/>
    <col min="8" max="8" width="15.5546875" style="4" customWidth="1"/>
    <col min="9" max="10" width="15.5546875" style="16" customWidth="1"/>
    <col min="11" max="11" width="14.44140625" style="16" customWidth="1"/>
    <col min="12" max="12" width="14" style="16" customWidth="1"/>
    <col min="13" max="13" width="8.77734375" style="16"/>
    <col min="14" max="14" width="19.77734375" style="7" bestFit="1" customWidth="1"/>
    <col min="15" max="15" width="10.5546875" style="4" customWidth="1"/>
    <col min="16" max="19" width="10.5546875" style="16" customWidth="1"/>
    <col min="20" max="22" width="15.5546875" style="16" customWidth="1"/>
    <col min="23" max="23" width="16" style="16" customWidth="1"/>
    <col min="24" max="16384" width="8.77734375" style="16"/>
  </cols>
  <sheetData>
    <row r="1" spans="1:23" x14ac:dyDescent="0.3">
      <c r="A1" s="26"/>
      <c r="B1" s="46" t="s">
        <v>57</v>
      </c>
      <c r="C1" s="46"/>
      <c r="D1" s="46"/>
      <c r="E1" s="46"/>
      <c r="F1" s="46"/>
      <c r="G1" s="46"/>
      <c r="H1" s="46"/>
      <c r="I1" s="46"/>
      <c r="J1" s="46"/>
      <c r="K1" s="26"/>
      <c r="M1" s="26"/>
      <c r="N1" s="46" t="s">
        <v>58</v>
      </c>
      <c r="O1" s="46"/>
      <c r="P1" s="46"/>
      <c r="Q1" s="46"/>
      <c r="R1" s="46"/>
      <c r="S1" s="46"/>
      <c r="T1" s="46"/>
      <c r="U1" s="46"/>
      <c r="V1" s="46"/>
      <c r="W1" s="26"/>
    </row>
    <row r="2" spans="1:23" x14ac:dyDescent="0.3">
      <c r="A2" s="30" t="s">
        <v>59</v>
      </c>
      <c r="B2" s="18" t="s">
        <v>20</v>
      </c>
      <c r="C2" s="18" t="s">
        <v>51</v>
      </c>
      <c r="D2" s="18" t="s">
        <v>52</v>
      </c>
      <c r="E2" s="18" t="s">
        <v>53</v>
      </c>
      <c r="F2" s="18" t="s">
        <v>54</v>
      </c>
      <c r="G2" s="18" t="s">
        <v>55</v>
      </c>
      <c r="H2" s="33" t="s">
        <v>62</v>
      </c>
      <c r="I2" s="18" t="s">
        <v>42</v>
      </c>
      <c r="J2" s="18" t="s">
        <v>56</v>
      </c>
      <c r="K2" s="20" t="s">
        <v>48</v>
      </c>
      <c r="M2" s="30" t="s">
        <v>59</v>
      </c>
      <c r="N2" s="23" t="s">
        <v>33</v>
      </c>
      <c r="O2" s="18" t="s">
        <v>20</v>
      </c>
      <c r="P2" s="18" t="s">
        <v>51</v>
      </c>
      <c r="Q2" s="18" t="s">
        <v>52</v>
      </c>
      <c r="R2" s="18" t="s">
        <v>53</v>
      </c>
      <c r="S2" s="18" t="s">
        <v>54</v>
      </c>
      <c r="T2" s="18" t="s">
        <v>55</v>
      </c>
      <c r="U2" s="18" t="s">
        <v>62</v>
      </c>
      <c r="V2" s="18" t="s">
        <v>48</v>
      </c>
      <c r="W2" s="20" t="s">
        <v>41</v>
      </c>
    </row>
    <row r="3" spans="1:23" x14ac:dyDescent="0.3">
      <c r="A3" s="26" cm="1">
        <f t="array" aca="1" ref="A3:A13" ca="1">_xlfn.BYROW(_xlfn.ANCHORARRAY(B3), _xlfn.LAMBDA(_xlpm.x, IF(INDEX(_xlpm.x, 0, 1)&lt;&gt;"", ROW(_xlpm.x)-2, "")))</f>
        <v>1</v>
      </c>
      <c r="B3" s="23" t="str" cm="1">
        <f t="array" aca="1" ref="B3:K13" ca="1">_xlfn.ANCHORARRAY('Team Leaderboard'!V2)</f>
        <v>10 (Jess Zhang, Oliver Kleinig,  Silas Hansch-Maher)</v>
      </c>
      <c r="C3" s="19" t="str">
        <f ca="1"/>
        <v>Win</v>
      </c>
      <c r="D3" s="19" t="str">
        <f ca="1"/>
        <v>Win</v>
      </c>
      <c r="E3" s="19" t="str">
        <f ca="1"/>
        <v/>
      </c>
      <c r="F3" s="19" t="str">
        <f ca="1"/>
        <v/>
      </c>
      <c r="G3" s="19" t="str">
        <f ca="1"/>
        <v/>
      </c>
      <c r="H3" s="19" t="str">
        <f ca="1"/>
        <v/>
      </c>
      <c r="I3" s="21">
        <f ca="1"/>
        <v>2</v>
      </c>
      <c r="J3" s="21">
        <f ca="1"/>
        <v>4.5</v>
      </c>
      <c r="K3" s="17">
        <f ca="1"/>
        <v>230</v>
      </c>
      <c r="M3" s="26" cm="1">
        <f t="array" aca="1" ref="M3:M37" ca="1">_xlfn.BYROW(_xlfn.ANCHORARRAY(N3), _xlfn.LAMBDA(_xlpm.x, IF(INDEX(_xlpm.x, 0, 1)&lt;&gt;"", ROW(_xlpm.x)-2, "")))</f>
        <v>1</v>
      </c>
      <c r="N3" s="23" t="str" cm="1">
        <f t="array" aca="1" ref="N3:W37" ca="1">_xlfn.ANCHORARRAY('Speaker Leaderboard'!K2)</f>
        <v>Oliver Kleinig</v>
      </c>
      <c r="O3" s="19">
        <f ca="1"/>
        <v>10</v>
      </c>
      <c r="P3" s="19">
        <f ca="1"/>
        <v>77</v>
      </c>
      <c r="Q3" s="19">
        <f ca="1"/>
        <v>77</v>
      </c>
      <c r="R3" s="19" t="str">
        <f ca="1"/>
        <v/>
      </c>
      <c r="S3" s="19" t="str">
        <f ca="1"/>
        <v/>
      </c>
      <c r="T3" s="21" t="str">
        <f ca="1"/>
        <v/>
      </c>
      <c r="U3" s="21" t="str">
        <f ca="1"/>
        <v/>
      </c>
      <c r="V3" s="21">
        <f ca="1"/>
        <v>77</v>
      </c>
      <c r="W3" s="17">
        <f ca="1"/>
        <v>154</v>
      </c>
    </row>
    <row r="4" spans="1:23" x14ac:dyDescent="0.3">
      <c r="A4" s="26">
        <f ca="1"/>
        <v>2</v>
      </c>
      <c r="B4" s="23" t="str">
        <f ca="1"/>
        <v>5 (Sonali Jesudason, Eliza Rayner, Sophia Figueroa)</v>
      </c>
      <c r="C4" s="19" t="str">
        <f ca="1"/>
        <v>Win</v>
      </c>
      <c r="D4" s="19" t="str">
        <f ca="1"/>
        <v/>
      </c>
      <c r="E4" s="19" t="str">
        <f ca="1"/>
        <v/>
      </c>
      <c r="F4" s="19" t="str">
        <f ca="1"/>
        <v/>
      </c>
      <c r="G4" s="19" t="str">
        <f ca="1"/>
        <v/>
      </c>
      <c r="H4" s="19" t="str">
        <f ca="1"/>
        <v/>
      </c>
      <c r="I4" s="21">
        <f ca="1"/>
        <v>1</v>
      </c>
      <c r="J4" s="21">
        <f ca="1"/>
        <v>3</v>
      </c>
      <c r="K4" s="17">
        <f ca="1"/>
        <v>225</v>
      </c>
      <c r="M4" s="26">
        <f ca="1"/>
        <v>2</v>
      </c>
      <c r="N4" s="23" t="str">
        <f ca="1"/>
        <v> Silas Hansch-Maher</v>
      </c>
      <c r="O4" s="19">
        <f ca="1"/>
        <v>10</v>
      </c>
      <c r="P4" s="19">
        <f ca="1"/>
        <v>77</v>
      </c>
      <c r="Q4" s="19">
        <f ca="1"/>
        <v>77</v>
      </c>
      <c r="R4" s="19" t="str">
        <f ca="1"/>
        <v/>
      </c>
      <c r="S4" s="19" t="str">
        <f ca="1"/>
        <v/>
      </c>
      <c r="T4" s="21" t="str">
        <f ca="1"/>
        <v/>
      </c>
      <c r="U4" s="21" t="str">
        <f ca="1"/>
        <v/>
      </c>
      <c r="V4" s="21">
        <f ca="1"/>
        <v>77</v>
      </c>
      <c r="W4" s="17">
        <f ca="1"/>
        <v>154</v>
      </c>
    </row>
    <row r="5" spans="1:23" x14ac:dyDescent="0.3">
      <c r="A5" s="26">
        <f ca="1"/>
        <v>3</v>
      </c>
      <c r="B5" s="23" t="str">
        <f ca="1"/>
        <v>4 (Bede Hansch-Maher, Laura Wright, Theodore Lysaght)</v>
      </c>
      <c r="C5" s="19" t="str">
        <f ca="1"/>
        <v>Loss</v>
      </c>
      <c r="D5" s="19" t="str">
        <f ca="1"/>
        <v>Win</v>
      </c>
      <c r="E5" s="19" t="str">
        <f ca="1"/>
        <v/>
      </c>
      <c r="F5" s="19" t="str">
        <f ca="1"/>
        <v/>
      </c>
      <c r="G5" s="19" t="str">
        <f ca="1"/>
        <v/>
      </c>
      <c r="H5" s="19" t="str">
        <f ca="1"/>
        <v/>
      </c>
      <c r="I5" s="21">
        <f ca="1"/>
        <v>1</v>
      </c>
      <c r="J5" s="21">
        <f ca="1"/>
        <v>2</v>
      </c>
      <c r="K5" s="17">
        <f ca="1"/>
        <v>226</v>
      </c>
      <c r="M5" s="26">
        <f ca="1"/>
        <v>3</v>
      </c>
      <c r="N5" s="23" t="str">
        <f ca="1"/>
        <v>Syme Aftab</v>
      </c>
      <c r="O5" s="19">
        <f ca="1"/>
        <v>8</v>
      </c>
      <c r="P5" s="19">
        <f ca="1"/>
        <v>77</v>
      </c>
      <c r="Q5" s="19">
        <f ca="1"/>
        <v>76</v>
      </c>
      <c r="R5" s="19" t="str">
        <f ca="1"/>
        <v/>
      </c>
      <c r="S5" s="19" t="str">
        <f ca="1"/>
        <v/>
      </c>
      <c r="T5" s="21" t="str">
        <f ca="1"/>
        <v/>
      </c>
      <c r="U5" s="21" t="str">
        <f ca="1"/>
        <v/>
      </c>
      <c r="V5" s="21">
        <f ca="1"/>
        <v>76.5</v>
      </c>
      <c r="W5" s="17">
        <f ca="1"/>
        <v>153</v>
      </c>
    </row>
    <row r="6" spans="1:23" x14ac:dyDescent="0.3">
      <c r="A6" s="26">
        <f ca="1"/>
        <v>4</v>
      </c>
      <c r="B6" s="23" t="str">
        <f ca="1"/>
        <v>7 (Ava Stewart, Seraphina Zhang, Emily Lai)</v>
      </c>
      <c r="C6" s="19" t="str">
        <f ca="1"/>
        <v>Loss</v>
      </c>
      <c r="D6" s="19" t="str">
        <f ca="1"/>
        <v>Win</v>
      </c>
      <c r="E6" s="19" t="str">
        <f ca="1"/>
        <v/>
      </c>
      <c r="F6" s="19" t="str">
        <f ca="1"/>
        <v/>
      </c>
      <c r="G6" s="19" t="str">
        <f ca="1"/>
        <v/>
      </c>
      <c r="H6" s="19" t="str">
        <f ca="1"/>
        <v/>
      </c>
      <c r="I6" s="21">
        <f ca="1"/>
        <v>1</v>
      </c>
      <c r="J6" s="21">
        <f ca="1"/>
        <v>1</v>
      </c>
      <c r="K6" s="17">
        <f ca="1"/>
        <v>224</v>
      </c>
      <c r="M6" s="26">
        <f ca="1"/>
        <v>4</v>
      </c>
      <c r="N6" s="23" t="str">
        <f ca="1"/>
        <v>Laura Wright</v>
      </c>
      <c r="O6" s="19">
        <f ca="1"/>
        <v>4</v>
      </c>
      <c r="P6" s="19">
        <f ca="1"/>
        <v>76</v>
      </c>
      <c r="Q6" s="19">
        <f ca="1"/>
        <v>76</v>
      </c>
      <c r="R6" s="19" t="str">
        <f ca="1"/>
        <v/>
      </c>
      <c r="S6" s="19" t="str">
        <f ca="1"/>
        <v/>
      </c>
      <c r="T6" s="21" t="str">
        <f ca="1"/>
        <v/>
      </c>
      <c r="U6" s="21" t="str">
        <f ca="1"/>
        <v/>
      </c>
      <c r="V6" s="21">
        <f ca="1"/>
        <v>76</v>
      </c>
      <c r="W6" s="17">
        <f ca="1"/>
        <v>152</v>
      </c>
    </row>
    <row r="7" spans="1:23" x14ac:dyDescent="0.3">
      <c r="A7" s="26">
        <f ca="1"/>
        <v>5</v>
      </c>
      <c r="B7" s="23" t="str">
        <f ca="1"/>
        <v>9 (Tom Kavanagh, Declan Clarke, Lang Lu)</v>
      </c>
      <c r="C7" s="19" t="str">
        <f ca="1"/>
        <v>Loss</v>
      </c>
      <c r="D7" s="19" t="str">
        <f ca="1"/>
        <v>Win</v>
      </c>
      <c r="E7" s="19" t="str">
        <f ca="1"/>
        <v/>
      </c>
      <c r="F7" s="19" t="str">
        <f ca="1"/>
        <v/>
      </c>
      <c r="G7" s="19" t="str">
        <f ca="1"/>
        <v/>
      </c>
      <c r="H7" s="19" t="str">
        <f ca="1"/>
        <v/>
      </c>
      <c r="I7" s="21">
        <f ca="1"/>
        <v>1</v>
      </c>
      <c r="J7" s="21">
        <f ca="1"/>
        <v>1</v>
      </c>
      <c r="K7" s="17">
        <f ca="1"/>
        <v>219.5</v>
      </c>
      <c r="M7" s="26">
        <f ca="1"/>
        <v>5</v>
      </c>
      <c r="N7" s="23" t="str">
        <f ca="1"/>
        <v>Jess Zhang</v>
      </c>
      <c r="O7" s="19">
        <f ca="1"/>
        <v>10</v>
      </c>
      <c r="P7" s="19">
        <f ca="1"/>
        <v>76</v>
      </c>
      <c r="Q7" s="19">
        <f ca="1"/>
        <v>76</v>
      </c>
      <c r="R7" s="19" t="str">
        <f ca="1"/>
        <v/>
      </c>
      <c r="S7" s="19" t="str">
        <f ca="1"/>
        <v/>
      </c>
      <c r="T7" s="21" t="str">
        <f ca="1"/>
        <v/>
      </c>
      <c r="U7" s="21" t="str">
        <f ca="1"/>
        <v/>
      </c>
      <c r="V7" s="21">
        <f ca="1"/>
        <v>76</v>
      </c>
      <c r="W7" s="17">
        <f ca="1"/>
        <v>152</v>
      </c>
    </row>
    <row r="8" spans="1:23" x14ac:dyDescent="0.3">
      <c r="A8" s="26">
        <f ca="1"/>
        <v>6</v>
      </c>
      <c r="B8" s="23" t="str">
        <f ca="1"/>
        <v>11 (Aadi Malhorta, Michael Deng, Kerry Yao, William Prosser)</v>
      </c>
      <c r="C8" s="19" t="str">
        <f ca="1"/>
        <v>Win</v>
      </c>
      <c r="D8" s="19" t="str">
        <f ca="1"/>
        <v>Loss</v>
      </c>
      <c r="E8" s="19" t="str">
        <f ca="1"/>
        <v/>
      </c>
      <c r="F8" s="19" t="str">
        <f ca="1"/>
        <v/>
      </c>
      <c r="G8" s="19" t="str">
        <f ca="1"/>
        <v/>
      </c>
      <c r="H8" s="19" t="str">
        <f ca="1"/>
        <v/>
      </c>
      <c r="I8" s="21">
        <f ca="1"/>
        <v>1</v>
      </c>
      <c r="J8" s="21">
        <f ca="1"/>
        <v>1</v>
      </c>
      <c r="K8" s="17">
        <f ca="1"/>
        <v>219.5</v>
      </c>
      <c r="M8" s="26">
        <f ca="1"/>
        <v>6</v>
      </c>
      <c r="N8" s="23" t="str">
        <f ca="1"/>
        <v>Sophia Figueroa</v>
      </c>
      <c r="O8" s="19">
        <f ca="1"/>
        <v>5</v>
      </c>
      <c r="P8" s="19">
        <f ca="1"/>
        <v>76</v>
      </c>
      <c r="Q8" s="19" t="str">
        <f ca="1"/>
        <v/>
      </c>
      <c r="R8" s="19" t="str">
        <f ca="1"/>
        <v/>
      </c>
      <c r="S8" s="19" t="str">
        <f ca="1"/>
        <v/>
      </c>
      <c r="T8" s="21" t="str">
        <f ca="1"/>
        <v/>
      </c>
      <c r="U8" s="21" t="str">
        <f ca="1"/>
        <v/>
      </c>
      <c r="V8" s="21">
        <f ca="1"/>
        <v>76</v>
      </c>
      <c r="W8" s="17">
        <f ca="1"/>
        <v>76</v>
      </c>
    </row>
    <row r="9" spans="1:23" x14ac:dyDescent="0.3">
      <c r="A9" s="26">
        <f ca="1"/>
        <v>7</v>
      </c>
      <c r="B9" s="23" t="str">
        <f ca="1"/>
        <v>1 (Yifan Sun, Shengyin Bai, Yifei Wang, Chengdong Wu)</v>
      </c>
      <c r="C9" s="19" t="str">
        <f ca="1"/>
        <v>Loss</v>
      </c>
      <c r="D9" s="19" t="str">
        <f ca="1"/>
        <v>Loss</v>
      </c>
      <c r="E9" s="19" t="str">
        <f ca="1"/>
        <v/>
      </c>
      <c r="F9" s="19" t="str">
        <f ca="1"/>
        <v/>
      </c>
      <c r="G9" s="19" t="str">
        <f ca="1"/>
        <v/>
      </c>
      <c r="H9" s="19" t="str">
        <f ca="1"/>
        <v/>
      </c>
      <c r="I9" s="21">
        <f ca="1"/>
        <v>0</v>
      </c>
      <c r="J9" s="21">
        <f ca="1"/>
        <v>0</v>
      </c>
      <c r="K9" s="17">
        <f ca="1"/>
        <v>0</v>
      </c>
      <c r="M9" s="26">
        <f ca="1"/>
        <v>7</v>
      </c>
      <c r="N9" s="23" t="str">
        <f ca="1"/>
        <v>Isabella Teague</v>
      </c>
      <c r="O9" s="19">
        <f ca="1"/>
        <v>8</v>
      </c>
      <c r="P9" s="19" t="str">
        <f ca="1"/>
        <v/>
      </c>
      <c r="Q9" s="19">
        <f ca="1"/>
        <v>76</v>
      </c>
      <c r="R9" s="19" t="str">
        <f ca="1"/>
        <v/>
      </c>
      <c r="S9" s="19" t="str">
        <f ca="1"/>
        <v/>
      </c>
      <c r="T9" s="21" t="str">
        <f ca="1"/>
        <v/>
      </c>
      <c r="U9" s="21" t="str">
        <f ca="1"/>
        <v/>
      </c>
      <c r="V9" s="21">
        <f ca="1"/>
        <v>76</v>
      </c>
      <c r="W9" s="17">
        <f ca="1"/>
        <v>76</v>
      </c>
    </row>
    <row r="10" spans="1:23" x14ac:dyDescent="0.3">
      <c r="A10" s="26">
        <f ca="1"/>
        <v>8</v>
      </c>
      <c r="B10" s="23" t="str">
        <f ca="1"/>
        <v>2 (Harry Elliott, Sam Button, Oliver Hooper)</v>
      </c>
      <c r="C10" s="19" t="str">
        <f ca="1"/>
        <v>Loss</v>
      </c>
      <c r="D10" s="19" t="str">
        <f ca="1"/>
        <v>Loss</v>
      </c>
      <c r="E10" s="19" t="str">
        <f ca="1"/>
        <v/>
      </c>
      <c r="F10" s="19" t="str">
        <f ca="1"/>
        <v/>
      </c>
      <c r="G10" s="19" t="str">
        <f ca="1"/>
        <v/>
      </c>
      <c r="H10" s="19" t="str">
        <f ca="1"/>
        <v/>
      </c>
      <c r="I10" s="21">
        <f ca="1"/>
        <v>0</v>
      </c>
      <c r="J10" s="21">
        <f ca="1"/>
        <v>0</v>
      </c>
      <c r="K10" s="17">
        <f ca="1"/>
        <v>0</v>
      </c>
      <c r="M10" s="26">
        <f ca="1"/>
        <v>8</v>
      </c>
      <c r="N10" s="23" t="str">
        <f ca="1"/>
        <v>Sam Button</v>
      </c>
      <c r="O10" s="19">
        <f ca="1"/>
        <v>2</v>
      </c>
      <c r="P10" s="19">
        <f ca="1"/>
        <v>77</v>
      </c>
      <c r="Q10" s="19">
        <f ca="1"/>
        <v>74</v>
      </c>
      <c r="R10" s="19" t="str">
        <f ca="1"/>
        <v/>
      </c>
      <c r="S10" s="19" t="str">
        <f ca="1"/>
        <v/>
      </c>
      <c r="T10" s="21" t="str">
        <f ca="1"/>
        <v/>
      </c>
      <c r="U10" s="21" t="str">
        <f ca="1"/>
        <v/>
      </c>
      <c r="V10" s="21">
        <f ca="1"/>
        <v>75.5</v>
      </c>
      <c r="W10" s="17">
        <f ca="1"/>
        <v>151</v>
      </c>
    </row>
    <row r="11" spans="1:23" x14ac:dyDescent="0.3">
      <c r="A11" s="26">
        <f ca="1"/>
        <v>9</v>
      </c>
      <c r="B11" s="23" t="str">
        <f ca="1"/>
        <v>3 (Amy Zander, Roan Bird, Colette Le)</v>
      </c>
      <c r="C11" s="19" t="str">
        <f ca="1"/>
        <v/>
      </c>
      <c r="D11" s="19" t="str">
        <f ca="1"/>
        <v>Loss</v>
      </c>
      <c r="E11" s="19" t="str">
        <f ca="1"/>
        <v/>
      </c>
      <c r="F11" s="19" t="str">
        <f ca="1"/>
        <v/>
      </c>
      <c r="G11" s="19" t="str">
        <f ca="1"/>
        <v/>
      </c>
      <c r="H11" s="19" t="str">
        <f ca="1"/>
        <v/>
      </c>
      <c r="I11" s="21">
        <f ca="1"/>
        <v>0</v>
      </c>
      <c r="J11" s="21">
        <f ca="1"/>
        <v>0</v>
      </c>
      <c r="K11" s="17">
        <f ca="1"/>
        <v>0</v>
      </c>
      <c r="M11" s="26">
        <f ca="1"/>
        <v>9</v>
      </c>
      <c r="N11" s="23" t="str">
        <f ca="1"/>
        <v>Bede Hansch-Maher</v>
      </c>
      <c r="O11" s="19">
        <f ca="1"/>
        <v>4</v>
      </c>
      <c r="P11" s="19">
        <f ca="1"/>
        <v>76</v>
      </c>
      <c r="Q11" s="19">
        <f ca="1"/>
        <v>75</v>
      </c>
      <c r="R11" s="19" t="str">
        <f ca="1"/>
        <v/>
      </c>
      <c r="S11" s="19" t="str">
        <f ca="1"/>
        <v/>
      </c>
      <c r="T11" s="21" t="str">
        <f ca="1"/>
        <v/>
      </c>
      <c r="U11" s="21" t="str">
        <f ca="1"/>
        <v/>
      </c>
      <c r="V11" s="21">
        <f ca="1"/>
        <v>75.5</v>
      </c>
      <c r="W11" s="17">
        <f ca="1"/>
        <v>151</v>
      </c>
    </row>
    <row r="12" spans="1:23" x14ac:dyDescent="0.3">
      <c r="A12" s="26">
        <f ca="1"/>
        <v>10</v>
      </c>
      <c r="B12" s="23" t="str">
        <f ca="1"/>
        <v>6 (Max Stewart, Aaryan Goriyaan, Korou Tonjam)</v>
      </c>
      <c r="C12" s="19" t="str">
        <f ca="1"/>
        <v/>
      </c>
      <c r="D12" s="19" t="str">
        <f ca="1"/>
        <v/>
      </c>
      <c r="E12" s="19" t="str">
        <f ca="1"/>
        <v/>
      </c>
      <c r="F12" s="19" t="str">
        <f ca="1"/>
        <v/>
      </c>
      <c r="G12" s="19" t="str">
        <f ca="1"/>
        <v/>
      </c>
      <c r="H12" s="19" t="str">
        <f ca="1"/>
        <v/>
      </c>
      <c r="I12" s="21">
        <f ca="1"/>
        <v>0</v>
      </c>
      <c r="J12" s="21">
        <f ca="1"/>
        <v>0</v>
      </c>
      <c r="K12" s="17">
        <f ca="1"/>
        <v>0</v>
      </c>
      <c r="M12" s="26">
        <f ca="1"/>
        <v>10</v>
      </c>
      <c r="N12" s="23" t="str">
        <f ca="1"/>
        <v>Yifan Sun</v>
      </c>
      <c r="O12" s="19">
        <f ca="1"/>
        <v>1</v>
      </c>
      <c r="P12" s="19">
        <f ca="1"/>
        <v>75</v>
      </c>
      <c r="Q12" s="19">
        <f ca="1"/>
        <v>75</v>
      </c>
      <c r="R12" s="19" t="str">
        <f ca="1"/>
        <v/>
      </c>
      <c r="S12" s="19" t="str">
        <f ca="1"/>
        <v/>
      </c>
      <c r="T12" s="21" t="str">
        <f ca="1"/>
        <v/>
      </c>
      <c r="U12" s="21" t="str">
        <f ca="1"/>
        <v/>
      </c>
      <c r="V12" s="21">
        <f ca="1"/>
        <v>75</v>
      </c>
      <c r="W12" s="17">
        <f ca="1"/>
        <v>150</v>
      </c>
    </row>
    <row r="13" spans="1:23" x14ac:dyDescent="0.3">
      <c r="A13" s="26">
        <f ca="1"/>
        <v>11</v>
      </c>
      <c r="B13" s="23" t="str">
        <f ca="1"/>
        <v>8 (Isabella Teague, Janice Stanzah, Syme Aftab)</v>
      </c>
      <c r="C13" s="19" t="str">
        <f ca="1"/>
        <v/>
      </c>
      <c r="D13" s="19" t="str">
        <f ca="1"/>
        <v/>
      </c>
      <c r="E13" s="19" t="str">
        <f ca="1"/>
        <v/>
      </c>
      <c r="F13" s="19" t="str">
        <f ca="1"/>
        <v/>
      </c>
      <c r="G13" s="19" t="str">
        <f ca="1"/>
        <v/>
      </c>
      <c r="H13" s="19" t="str">
        <f ca="1"/>
        <v/>
      </c>
      <c r="I13" s="21">
        <f ca="1"/>
        <v>0</v>
      </c>
      <c r="J13" s="21">
        <f ca="1"/>
        <v>0</v>
      </c>
      <c r="K13" s="17">
        <f ca="1"/>
        <v>0</v>
      </c>
      <c r="M13" s="26">
        <f ca="1"/>
        <v>11</v>
      </c>
      <c r="N13" s="23" t="str">
        <f ca="1"/>
        <v>Amy Zander</v>
      </c>
      <c r="O13" s="19">
        <f ca="1"/>
        <v>3</v>
      </c>
      <c r="P13" s="19">
        <f ca="1"/>
        <v>75</v>
      </c>
      <c r="Q13" s="19">
        <f ca="1"/>
        <v>75</v>
      </c>
      <c r="R13" s="19" t="str">
        <f ca="1"/>
        <v/>
      </c>
      <c r="S13" s="19" t="str">
        <f ca="1"/>
        <v/>
      </c>
      <c r="T13" s="21" t="str">
        <f ca="1"/>
        <v/>
      </c>
      <c r="U13" s="21" t="str">
        <f ca="1"/>
        <v/>
      </c>
      <c r="V13" s="21">
        <f ca="1"/>
        <v>75</v>
      </c>
      <c r="W13" s="17">
        <f ca="1"/>
        <v>150</v>
      </c>
    </row>
    <row r="14" spans="1:23" x14ac:dyDescent="0.3">
      <c r="A14" s="26"/>
      <c r="B14" s="23"/>
      <c r="C14" s="19"/>
      <c r="D14" s="19"/>
      <c r="E14" s="19"/>
      <c r="F14" s="19"/>
      <c r="G14" s="19"/>
      <c r="H14" s="19"/>
      <c r="I14" s="21"/>
      <c r="J14" s="21"/>
      <c r="K14" s="17"/>
      <c r="M14" s="26">
        <f ca="1"/>
        <v>12</v>
      </c>
      <c r="N14" s="23" t="str">
        <f ca="1"/>
        <v>Roan Bird</v>
      </c>
      <c r="O14" s="19">
        <f ca="1"/>
        <v>3</v>
      </c>
      <c r="P14" s="19">
        <f ca="1"/>
        <v>75</v>
      </c>
      <c r="Q14" s="19">
        <f ca="1"/>
        <v>75</v>
      </c>
      <c r="R14" s="19" t="str">
        <f ca="1"/>
        <v/>
      </c>
      <c r="S14" s="19" t="str">
        <f ca="1"/>
        <v/>
      </c>
      <c r="T14" s="21" t="str">
        <f ca="1"/>
        <v/>
      </c>
      <c r="U14" s="21" t="str">
        <f ca="1"/>
        <v/>
      </c>
      <c r="V14" s="21">
        <f ca="1"/>
        <v>75</v>
      </c>
      <c r="W14" s="17">
        <f ca="1"/>
        <v>150</v>
      </c>
    </row>
    <row r="15" spans="1:23" x14ac:dyDescent="0.3">
      <c r="A15" s="26"/>
      <c r="B15" s="23"/>
      <c r="C15" s="19"/>
      <c r="D15" s="19"/>
      <c r="E15" s="19"/>
      <c r="F15" s="19"/>
      <c r="G15" s="19"/>
      <c r="H15" s="19"/>
      <c r="I15" s="21"/>
      <c r="J15" s="21"/>
      <c r="K15" s="17"/>
      <c r="M15" s="26">
        <f ca="1"/>
        <v>13</v>
      </c>
      <c r="N15" s="23" t="str">
        <f ca="1"/>
        <v>Ava Stewart</v>
      </c>
      <c r="O15" s="19">
        <f ca="1"/>
        <v>7</v>
      </c>
      <c r="P15" s="19">
        <f ca="1"/>
        <v>75</v>
      </c>
      <c r="Q15" s="19">
        <f ca="1"/>
        <v>75</v>
      </c>
      <c r="R15" s="19" t="str">
        <f ca="1"/>
        <v/>
      </c>
      <c r="S15" s="19" t="str">
        <f ca="1"/>
        <v/>
      </c>
      <c r="T15" s="21" t="str">
        <f ca="1"/>
        <v/>
      </c>
      <c r="U15" s="21" t="str">
        <f ca="1"/>
        <v/>
      </c>
      <c r="V15" s="21">
        <f ca="1"/>
        <v>75</v>
      </c>
      <c r="W15" s="17">
        <f ca="1"/>
        <v>150</v>
      </c>
    </row>
    <row r="16" spans="1:23" x14ac:dyDescent="0.3">
      <c r="A16" s="26"/>
      <c r="B16" s="23"/>
      <c r="C16" s="19"/>
      <c r="D16" s="19"/>
      <c r="E16" s="19"/>
      <c r="F16" s="19"/>
      <c r="G16" s="19"/>
      <c r="H16" s="19"/>
      <c r="I16" s="21"/>
      <c r="J16" s="21"/>
      <c r="K16" s="17"/>
      <c r="M16" s="26">
        <f ca="1"/>
        <v>14</v>
      </c>
      <c r="N16" s="23" t="str">
        <f ca="1"/>
        <v>Yifei Wang</v>
      </c>
      <c r="O16" s="19">
        <f ca="1"/>
        <v>1</v>
      </c>
      <c r="P16" s="19" t="str">
        <f ca="1"/>
        <v/>
      </c>
      <c r="Q16" s="19">
        <f ca="1"/>
        <v>75</v>
      </c>
      <c r="R16" s="19" t="str">
        <f ca="1"/>
        <v/>
      </c>
      <c r="S16" s="19" t="str">
        <f ca="1"/>
        <v/>
      </c>
      <c r="T16" s="21" t="str">
        <f ca="1"/>
        <v/>
      </c>
      <c r="U16" s="21" t="str">
        <f ca="1"/>
        <v/>
      </c>
      <c r="V16" s="21">
        <f ca="1"/>
        <v>75</v>
      </c>
      <c r="W16" s="17">
        <f ca="1"/>
        <v>75</v>
      </c>
    </row>
    <row r="17" spans="1:23" x14ac:dyDescent="0.3">
      <c r="A17" s="26"/>
      <c r="B17" s="23"/>
      <c r="C17" s="19"/>
      <c r="D17" s="19"/>
      <c r="E17" s="19"/>
      <c r="F17" s="19"/>
      <c r="G17" s="19"/>
      <c r="H17" s="19"/>
      <c r="I17" s="21"/>
      <c r="J17" s="21"/>
      <c r="K17" s="17"/>
      <c r="M17" s="26">
        <f ca="1"/>
        <v>15</v>
      </c>
      <c r="N17" s="23" t="str">
        <f ca="1"/>
        <v>Seraphina Zhang</v>
      </c>
      <c r="O17" s="19">
        <f ca="1"/>
        <v>7</v>
      </c>
      <c r="P17" s="19" t="str">
        <f ca="1"/>
        <v/>
      </c>
      <c r="Q17" s="19">
        <f ca="1"/>
        <v>75</v>
      </c>
      <c r="R17" s="19" t="str">
        <f ca="1"/>
        <v/>
      </c>
      <c r="S17" s="19" t="str">
        <f ca="1"/>
        <v/>
      </c>
      <c r="T17" s="21" t="str">
        <f ca="1"/>
        <v/>
      </c>
      <c r="U17" s="21" t="str">
        <f ca="1"/>
        <v/>
      </c>
      <c r="V17" s="21">
        <f ca="1"/>
        <v>75</v>
      </c>
      <c r="W17" s="17">
        <f ca="1"/>
        <v>75</v>
      </c>
    </row>
    <row r="18" spans="1:23" x14ac:dyDescent="0.3">
      <c r="B18" s="27"/>
      <c r="C18" s="4"/>
      <c r="D18" s="4"/>
      <c r="E18" s="4"/>
      <c r="F18" s="4"/>
      <c r="G18" s="4"/>
      <c r="I18" s="28"/>
      <c r="J18" s="29"/>
      <c r="M18" s="26">
        <f ca="1"/>
        <v>16</v>
      </c>
      <c r="N18" s="24" t="str">
        <f ca="1"/>
        <v>Lang Lu</v>
      </c>
      <c r="O18" s="11">
        <f ca="1"/>
        <v>9</v>
      </c>
      <c r="P18" s="11">
        <f ca="1"/>
        <v>75</v>
      </c>
      <c r="Q18" s="11" t="str">
        <f ca="1"/>
        <v/>
      </c>
      <c r="R18" s="11" t="str">
        <f ca="1"/>
        <v/>
      </c>
      <c r="S18" s="11" t="str">
        <f ca="1"/>
        <v/>
      </c>
      <c r="T18" s="22" t="str">
        <f ca="1"/>
        <v/>
      </c>
      <c r="U18" s="22" t="str">
        <f ca="1"/>
        <v/>
      </c>
      <c r="V18" s="22">
        <f ca="1"/>
        <v>75</v>
      </c>
      <c r="W18" s="17">
        <f ca="1"/>
        <v>75</v>
      </c>
    </row>
    <row r="19" spans="1:23" x14ac:dyDescent="0.3">
      <c r="M19" s="26">
        <f ca="1"/>
        <v>17</v>
      </c>
      <c r="N19" s="24" t="str">
        <f ca="1"/>
        <v>Shengyin Bai</v>
      </c>
      <c r="O19" s="11">
        <f ca="1"/>
        <v>1</v>
      </c>
      <c r="P19" s="17">
        <f ca="1"/>
        <v>74</v>
      </c>
      <c r="Q19" s="17">
        <f ca="1"/>
        <v>75</v>
      </c>
      <c r="R19" s="17" t="str">
        <f ca="1"/>
        <v/>
      </c>
      <c r="S19" s="17" t="str">
        <f ca="1"/>
        <v/>
      </c>
      <c r="T19" s="17" t="str">
        <f ca="1"/>
        <v/>
      </c>
      <c r="U19" s="17" t="str">
        <f ca="1"/>
        <v/>
      </c>
      <c r="V19" s="17">
        <f ca="1"/>
        <v>74.5</v>
      </c>
      <c r="W19" s="17">
        <f ca="1"/>
        <v>149</v>
      </c>
    </row>
    <row r="20" spans="1:23" x14ac:dyDescent="0.3">
      <c r="M20" s="26">
        <f ca="1"/>
        <v>18</v>
      </c>
      <c r="N20" s="24" t="str">
        <f ca="1"/>
        <v>Harry Elliott</v>
      </c>
      <c r="O20" s="11">
        <f ca="1"/>
        <v>2</v>
      </c>
      <c r="P20" s="17">
        <f ca="1"/>
        <v>75</v>
      </c>
      <c r="Q20" s="17">
        <f ca="1"/>
        <v>74</v>
      </c>
      <c r="R20" s="17" t="str">
        <f ca="1"/>
        <v/>
      </c>
      <c r="S20" s="17" t="str">
        <f ca="1"/>
        <v/>
      </c>
      <c r="T20" s="17" t="str">
        <f ca="1"/>
        <v/>
      </c>
      <c r="U20" s="17" t="str">
        <f ca="1"/>
        <v/>
      </c>
      <c r="V20" s="17">
        <f ca="1"/>
        <v>74.5</v>
      </c>
      <c r="W20" s="17">
        <f ca="1"/>
        <v>149</v>
      </c>
    </row>
    <row r="21" spans="1:23" x14ac:dyDescent="0.3">
      <c r="M21" s="26">
        <f ca="1"/>
        <v>19</v>
      </c>
      <c r="N21" s="24" t="str">
        <f ca="1"/>
        <v>Theodore Lysaght</v>
      </c>
      <c r="O21" s="11">
        <f ca="1"/>
        <v>4</v>
      </c>
      <c r="P21" s="17">
        <f ca="1"/>
        <v>75</v>
      </c>
      <c r="Q21" s="17">
        <f ca="1"/>
        <v>74</v>
      </c>
      <c r="R21" s="17" t="str">
        <f ca="1"/>
        <v/>
      </c>
      <c r="S21" s="17" t="str">
        <f ca="1"/>
        <v/>
      </c>
      <c r="T21" s="17" t="str">
        <f ca="1"/>
        <v/>
      </c>
      <c r="U21" s="17" t="str">
        <f ca="1"/>
        <v/>
      </c>
      <c r="V21" s="17">
        <f ca="1"/>
        <v>74.5</v>
      </c>
      <c r="W21" s="17">
        <f ca="1"/>
        <v>149</v>
      </c>
    </row>
    <row r="22" spans="1:23" x14ac:dyDescent="0.3">
      <c r="M22" s="26">
        <f ca="1"/>
        <v>20</v>
      </c>
      <c r="N22" s="24" t="str">
        <f ca="1"/>
        <v>Oliver Hooper</v>
      </c>
      <c r="O22" s="11">
        <f ca="1"/>
        <v>2</v>
      </c>
      <c r="P22" s="17">
        <f ca="1"/>
        <v>75</v>
      </c>
      <c r="Q22" s="17">
        <f ca="1"/>
        <v>73</v>
      </c>
      <c r="R22" s="17" t="str">
        <f ca="1"/>
        <v/>
      </c>
      <c r="S22" s="17" t="str">
        <f ca="1"/>
        <v/>
      </c>
      <c r="T22" s="17" t="str">
        <f ca="1"/>
        <v/>
      </c>
      <c r="U22" s="17" t="str">
        <f ca="1"/>
        <v/>
      </c>
      <c r="V22" s="17">
        <f ca="1"/>
        <v>74</v>
      </c>
      <c r="W22" s="17">
        <f ca="1"/>
        <v>148</v>
      </c>
    </row>
    <row r="23" spans="1:23" x14ac:dyDescent="0.3">
      <c r="M23" s="26">
        <f ca="1"/>
        <v>21</v>
      </c>
      <c r="N23" s="24" t="str">
        <f ca="1"/>
        <v>Kerry Yao</v>
      </c>
      <c r="O23" s="11">
        <f ca="1"/>
        <v>11</v>
      </c>
      <c r="P23" s="17">
        <f ca="1"/>
        <v>74</v>
      </c>
      <c r="Q23" s="17">
        <f ca="1"/>
        <v>74</v>
      </c>
      <c r="R23" s="17" t="str">
        <f ca="1"/>
        <v/>
      </c>
      <c r="S23" s="17" t="str">
        <f ca="1"/>
        <v/>
      </c>
      <c r="T23" s="17" t="str">
        <f ca="1"/>
        <v/>
      </c>
      <c r="U23" s="17" t="str">
        <f ca="1"/>
        <v/>
      </c>
      <c r="V23" s="17">
        <f ca="1"/>
        <v>74</v>
      </c>
      <c r="W23" s="17">
        <f ca="1"/>
        <v>148</v>
      </c>
    </row>
    <row r="24" spans="1:23" x14ac:dyDescent="0.3">
      <c r="M24" s="26">
        <f ca="1"/>
        <v>22</v>
      </c>
      <c r="N24" s="24" t="str">
        <f ca="1"/>
        <v>Eliza Rayner</v>
      </c>
      <c r="O24" s="11">
        <f ca="1"/>
        <v>5</v>
      </c>
      <c r="P24" s="17">
        <f ca="1"/>
        <v>74</v>
      </c>
      <c r="Q24" s="17" t="str">
        <f ca="1"/>
        <v/>
      </c>
      <c r="R24" s="17" t="str">
        <f ca="1"/>
        <v/>
      </c>
      <c r="S24" s="17" t="str">
        <f ca="1"/>
        <v/>
      </c>
      <c r="T24" s="17" t="str">
        <f ca="1"/>
        <v/>
      </c>
      <c r="U24" s="17" t="str">
        <f ca="1"/>
        <v/>
      </c>
      <c r="V24" s="17">
        <f ca="1"/>
        <v>74</v>
      </c>
      <c r="W24" s="17">
        <f ca="1"/>
        <v>74</v>
      </c>
    </row>
    <row r="25" spans="1:23" x14ac:dyDescent="0.3">
      <c r="M25" s="26">
        <f ca="1"/>
        <v>23</v>
      </c>
      <c r="N25" s="24" t="str">
        <f ca="1"/>
        <v>Max Stewart</v>
      </c>
      <c r="O25" s="11">
        <f ca="1"/>
        <v>6</v>
      </c>
      <c r="P25" s="17">
        <f ca="1"/>
        <v>74</v>
      </c>
      <c r="Q25" s="17" t="str">
        <f ca="1"/>
        <v/>
      </c>
      <c r="R25" s="17" t="str">
        <f ca="1"/>
        <v/>
      </c>
      <c r="S25" s="17" t="str">
        <f ca="1"/>
        <v/>
      </c>
      <c r="T25" s="17" t="str">
        <f ca="1"/>
        <v/>
      </c>
      <c r="U25" s="17" t="str">
        <f ca="1"/>
        <v/>
      </c>
      <c r="V25" s="17">
        <f ca="1"/>
        <v>74</v>
      </c>
      <c r="W25" s="17">
        <f ca="1"/>
        <v>74</v>
      </c>
    </row>
    <row r="26" spans="1:23" x14ac:dyDescent="0.3">
      <c r="M26" s="26">
        <f ca="1"/>
        <v>24</v>
      </c>
      <c r="N26" s="24" t="str">
        <f ca="1"/>
        <v>Korou Tonjam</v>
      </c>
      <c r="O26" s="11">
        <f ca="1"/>
        <v>6</v>
      </c>
      <c r="P26" s="17">
        <f ca="1"/>
        <v>74</v>
      </c>
      <c r="Q26" s="17" t="str">
        <f ca="1"/>
        <v/>
      </c>
      <c r="R26" s="17" t="str">
        <f ca="1"/>
        <v/>
      </c>
      <c r="S26" s="17" t="str">
        <f ca="1"/>
        <v/>
      </c>
      <c r="T26" s="17" t="str">
        <f ca="1"/>
        <v/>
      </c>
      <c r="U26" s="17" t="str">
        <f ca="1"/>
        <v/>
      </c>
      <c r="V26" s="17">
        <f ca="1"/>
        <v>74</v>
      </c>
      <c r="W26" s="17">
        <f ca="1"/>
        <v>74</v>
      </c>
    </row>
    <row r="27" spans="1:23" x14ac:dyDescent="0.3">
      <c r="M27" s="26">
        <f ca="1"/>
        <v>25</v>
      </c>
      <c r="N27" s="24" t="str">
        <f ca="1"/>
        <v>Tom Kavanagh</v>
      </c>
      <c r="O27" s="11">
        <f ca="1"/>
        <v>9</v>
      </c>
      <c r="P27" s="17" t="str">
        <f ca="1"/>
        <v/>
      </c>
      <c r="Q27" s="17">
        <f ca="1"/>
        <v>74</v>
      </c>
      <c r="R27" s="17" t="str">
        <f ca="1"/>
        <v/>
      </c>
      <c r="S27" s="17" t="str">
        <f ca="1"/>
        <v/>
      </c>
      <c r="T27" s="17" t="str">
        <f ca="1"/>
        <v/>
      </c>
      <c r="U27" s="17" t="str">
        <f ca="1"/>
        <v/>
      </c>
      <c r="V27" s="17">
        <f ca="1"/>
        <v>74</v>
      </c>
      <c r="W27" s="17">
        <f ca="1"/>
        <v>74</v>
      </c>
    </row>
    <row r="28" spans="1:23" x14ac:dyDescent="0.3">
      <c r="M28" s="26">
        <f ca="1"/>
        <v>26</v>
      </c>
      <c r="N28" s="24" t="str">
        <f ca="1"/>
        <v>Aadi Malhorta</v>
      </c>
      <c r="O28" s="11">
        <f ca="1"/>
        <v>11</v>
      </c>
      <c r="P28" s="17">
        <f ca="1"/>
        <v>74</v>
      </c>
      <c r="Q28" s="17" t="str">
        <f ca="1"/>
        <v/>
      </c>
      <c r="R28" s="17" t="str">
        <f ca="1"/>
        <v/>
      </c>
      <c r="S28" s="17" t="str">
        <f ca="1"/>
        <v/>
      </c>
      <c r="T28" s="17" t="str">
        <f ca="1"/>
        <v/>
      </c>
      <c r="U28" s="17" t="str">
        <f ca="1"/>
        <v/>
      </c>
      <c r="V28" s="17">
        <f ca="1"/>
        <v>74</v>
      </c>
      <c r="W28" s="17">
        <f ca="1"/>
        <v>74</v>
      </c>
    </row>
    <row r="29" spans="1:23" x14ac:dyDescent="0.3">
      <c r="M29" s="26">
        <f ca="1"/>
        <v>27</v>
      </c>
      <c r="N29" s="24" t="str">
        <f ca="1"/>
        <v>Michael Deng</v>
      </c>
      <c r="O29" s="11">
        <f ca="1"/>
        <v>11</v>
      </c>
      <c r="P29" s="17">
        <f ca="1"/>
        <v>74</v>
      </c>
      <c r="Q29" s="17" t="str">
        <f ca="1"/>
        <v/>
      </c>
      <c r="R29" s="17" t="str">
        <f ca="1"/>
        <v/>
      </c>
      <c r="S29" s="17" t="str">
        <f ca="1"/>
        <v/>
      </c>
      <c r="T29" s="17" t="str">
        <f ca="1"/>
        <v/>
      </c>
      <c r="U29" s="17" t="str">
        <f ca="1"/>
        <v/>
      </c>
      <c r="V29" s="17">
        <f ca="1"/>
        <v>74</v>
      </c>
      <c r="W29" s="17">
        <f ca="1"/>
        <v>74</v>
      </c>
    </row>
    <row r="30" spans="1:23" x14ac:dyDescent="0.3">
      <c r="M30" s="26">
        <f ca="1"/>
        <v>28</v>
      </c>
      <c r="N30" s="24" t="str">
        <f ca="1"/>
        <v>Declan Clarke</v>
      </c>
      <c r="O30" s="11">
        <f ca="1"/>
        <v>9</v>
      </c>
      <c r="P30" s="17">
        <f ca="1"/>
        <v>74</v>
      </c>
      <c r="Q30" s="17">
        <f ca="1"/>
        <v>73</v>
      </c>
      <c r="R30" s="17" t="str">
        <f ca="1"/>
        <v/>
      </c>
      <c r="S30" s="17" t="str">
        <f ca="1"/>
        <v/>
      </c>
      <c r="T30" s="17" t="str">
        <f ca="1"/>
        <v/>
      </c>
      <c r="U30" s="17" t="str">
        <f ca="1"/>
        <v/>
      </c>
      <c r="V30" s="17">
        <f ca="1"/>
        <v>73.5</v>
      </c>
      <c r="W30" s="17">
        <f ca="1"/>
        <v>147</v>
      </c>
    </row>
    <row r="31" spans="1:23" x14ac:dyDescent="0.3">
      <c r="M31" s="26">
        <f ca="1"/>
        <v>29</v>
      </c>
      <c r="N31" s="24" t="str">
        <f ca="1"/>
        <v>Emily Lai</v>
      </c>
      <c r="O31" s="11">
        <f ca="1"/>
        <v>7</v>
      </c>
      <c r="P31" s="17">
        <f ca="1"/>
        <v>73</v>
      </c>
      <c r="Q31" s="17" t="str">
        <f ca="1"/>
        <v/>
      </c>
      <c r="R31" s="17" t="str">
        <f ca="1"/>
        <v/>
      </c>
      <c r="S31" s="17" t="str">
        <f ca="1"/>
        <v/>
      </c>
      <c r="T31" s="17" t="str">
        <f ca="1"/>
        <v/>
      </c>
      <c r="U31" s="17" t="str">
        <f ca="1"/>
        <v/>
      </c>
      <c r="V31" s="17">
        <f ca="1"/>
        <v>73</v>
      </c>
      <c r="W31" s="17">
        <f ca="1"/>
        <v>73</v>
      </c>
    </row>
    <row r="32" spans="1:23" x14ac:dyDescent="0.3">
      <c r="M32" s="26">
        <f ca="1"/>
        <v>30</v>
      </c>
      <c r="N32" s="24" t="str">
        <f ca="1"/>
        <v>Chengdong Wu</v>
      </c>
      <c r="O32" s="11">
        <f ca="1"/>
        <v>1</v>
      </c>
      <c r="P32" s="17">
        <f ca="1"/>
        <v>72</v>
      </c>
      <c r="Q32" s="17" t="str">
        <f ca="1"/>
        <v/>
      </c>
      <c r="R32" s="17" t="str">
        <f ca="1"/>
        <v/>
      </c>
      <c r="S32" s="17" t="str">
        <f ca="1"/>
        <v/>
      </c>
      <c r="T32" s="17" t="str">
        <f ca="1"/>
        <v/>
      </c>
      <c r="U32" s="17" t="str">
        <f ca="1"/>
        <v/>
      </c>
      <c r="V32" s="17">
        <f ca="1"/>
        <v>72</v>
      </c>
      <c r="W32" s="17">
        <f ca="1"/>
        <v>72</v>
      </c>
    </row>
    <row r="33" spans="13:23" x14ac:dyDescent="0.3">
      <c r="M33" s="26">
        <f ca="1"/>
        <v>31</v>
      </c>
      <c r="N33" s="24" t="str">
        <f ca="1"/>
        <v>William Prosser</v>
      </c>
      <c r="O33" s="11">
        <f ca="1"/>
        <v>11</v>
      </c>
      <c r="P33" s="17" t="str">
        <f ca="1"/>
        <v/>
      </c>
      <c r="Q33" s="17">
        <f ca="1"/>
        <v>72</v>
      </c>
      <c r="R33" s="17" t="str">
        <f ca="1"/>
        <v/>
      </c>
      <c r="S33" s="17" t="str">
        <f ca="1"/>
        <v/>
      </c>
      <c r="T33" s="17" t="str">
        <f ca="1"/>
        <v/>
      </c>
      <c r="U33" s="17" t="str">
        <f ca="1"/>
        <v/>
      </c>
      <c r="V33" s="17">
        <f ca="1"/>
        <v>72</v>
      </c>
      <c r="W33" s="17">
        <f ca="1"/>
        <v>72</v>
      </c>
    </row>
    <row r="34" spans="13:23" x14ac:dyDescent="0.3">
      <c r="M34" s="26">
        <f ca="1"/>
        <v>32</v>
      </c>
      <c r="N34" s="24" t="str">
        <f ca="1"/>
        <v>Aaryan Goriyaan</v>
      </c>
      <c r="O34" s="11">
        <f ca="1"/>
        <v>6</v>
      </c>
      <c r="P34" s="17">
        <f ca="1"/>
        <v>72</v>
      </c>
      <c r="Q34" s="17">
        <f ca="1"/>
        <v>71</v>
      </c>
      <c r="R34" s="17" t="str">
        <f ca="1"/>
        <v/>
      </c>
      <c r="S34" s="17" t="str">
        <f ca="1"/>
        <v/>
      </c>
      <c r="T34" s="17" t="str">
        <f ca="1"/>
        <v/>
      </c>
      <c r="U34" s="17" t="str">
        <f ca="1"/>
        <v/>
      </c>
      <c r="V34" s="17">
        <f ca="1"/>
        <v>71.5</v>
      </c>
      <c r="W34" s="17">
        <f ca="1"/>
        <v>143</v>
      </c>
    </row>
    <row r="35" spans="13:23" x14ac:dyDescent="0.3">
      <c r="M35" s="26">
        <f ca="1"/>
        <v>33</v>
      </c>
      <c r="N35" s="24" t="str">
        <f ca="1"/>
        <v>Janice Stanzah</v>
      </c>
      <c r="O35" s="11">
        <f ca="1"/>
        <v>8</v>
      </c>
      <c r="P35" s="17" t="str">
        <f ca="1"/>
        <v/>
      </c>
      <c r="Q35" s="17">
        <f ca="1"/>
        <v>71</v>
      </c>
      <c r="R35" s="17" t="str">
        <f ca="1"/>
        <v/>
      </c>
      <c r="S35" s="17" t="str">
        <f ca="1"/>
        <v/>
      </c>
      <c r="T35" s="17" t="str">
        <f ca="1"/>
        <v/>
      </c>
      <c r="U35" s="17" t="str">
        <f ca="1"/>
        <v/>
      </c>
      <c r="V35" s="17">
        <f ca="1"/>
        <v>71</v>
      </c>
      <c r="W35" s="17">
        <f ca="1"/>
        <v>71</v>
      </c>
    </row>
    <row r="36" spans="13:23" x14ac:dyDescent="0.3">
      <c r="M36" s="26">
        <f ca="1"/>
        <v>34</v>
      </c>
      <c r="N36" s="24" t="str">
        <f ca="1"/>
        <v>Colette Le</v>
      </c>
      <c r="O36" s="11">
        <f ca="1"/>
        <v>3</v>
      </c>
      <c r="P36" s="17" t="str">
        <f ca="1"/>
        <v/>
      </c>
      <c r="Q36" s="17" t="str">
        <f ca="1"/>
        <v/>
      </c>
      <c r="R36" s="17" t="str">
        <f ca="1"/>
        <v/>
      </c>
      <c r="S36" s="17" t="str">
        <f ca="1"/>
        <v/>
      </c>
      <c r="T36" s="17" t="str">
        <f ca="1"/>
        <v/>
      </c>
      <c r="U36" s="17" t="str">
        <f ca="1"/>
        <v/>
      </c>
      <c r="V36" s="17">
        <f ca="1"/>
        <v>0</v>
      </c>
      <c r="W36" s="17">
        <f ca="1"/>
        <v>0</v>
      </c>
    </row>
    <row r="37" spans="13:23" x14ac:dyDescent="0.3">
      <c r="M37" s="26">
        <f ca="1"/>
        <v>35</v>
      </c>
      <c r="N37" s="24" t="str">
        <f ca="1"/>
        <v>Sonali Jesudason</v>
      </c>
      <c r="O37" s="11">
        <f ca="1"/>
        <v>5</v>
      </c>
      <c r="P37" s="17" t="str">
        <f ca="1"/>
        <v/>
      </c>
      <c r="Q37" s="17" t="str">
        <f ca="1"/>
        <v/>
      </c>
      <c r="R37" s="17" t="str">
        <f ca="1"/>
        <v/>
      </c>
      <c r="S37" s="17" t="str">
        <f ca="1"/>
        <v/>
      </c>
      <c r="T37" s="17" t="str">
        <f ca="1"/>
        <v/>
      </c>
      <c r="U37" s="17" t="str">
        <f ca="1"/>
        <v/>
      </c>
      <c r="V37" s="17">
        <f ca="1"/>
        <v>0</v>
      </c>
      <c r="W37" s="17">
        <f ca="1"/>
        <v>0</v>
      </c>
    </row>
    <row r="38" spans="13:23" x14ac:dyDescent="0.3">
      <c r="M38" s="26"/>
      <c r="N38" s="24"/>
      <c r="O38" s="11"/>
      <c r="P38" s="17"/>
      <c r="Q38" s="17"/>
      <c r="R38" s="17"/>
      <c r="S38" s="17"/>
      <c r="T38" s="17"/>
      <c r="U38" s="17"/>
      <c r="V38" s="17"/>
      <c r="W38" s="17"/>
    </row>
    <row r="39" spans="13:23" x14ac:dyDescent="0.3">
      <c r="M39" s="26"/>
      <c r="N39" s="24"/>
      <c r="O39" s="11"/>
      <c r="P39" s="17"/>
      <c r="Q39" s="17"/>
      <c r="R39" s="17"/>
      <c r="S39" s="17"/>
      <c r="T39" s="17"/>
      <c r="U39" s="17"/>
      <c r="V39" s="17"/>
      <c r="W39" s="17"/>
    </row>
    <row r="40" spans="13:23" x14ac:dyDescent="0.3">
      <c r="M40" s="26"/>
      <c r="N40" s="24"/>
      <c r="O40" s="11"/>
      <c r="P40" s="17"/>
      <c r="Q40" s="17"/>
      <c r="R40" s="17"/>
      <c r="S40" s="17"/>
      <c r="T40" s="17"/>
      <c r="U40" s="17"/>
      <c r="V40" s="17"/>
      <c r="W40" s="17"/>
    </row>
    <row r="41" spans="13:23" x14ac:dyDescent="0.3">
      <c r="M41" s="26"/>
      <c r="N41" s="24"/>
      <c r="O41" s="11"/>
      <c r="P41" s="17"/>
      <c r="Q41" s="17"/>
      <c r="R41" s="17"/>
      <c r="S41" s="17"/>
      <c r="T41" s="17"/>
      <c r="U41" s="17"/>
      <c r="V41" s="17"/>
      <c r="W41" s="17"/>
    </row>
    <row r="42" spans="13:23" x14ac:dyDescent="0.3">
      <c r="M42" s="26"/>
      <c r="N42" s="24"/>
      <c r="O42" s="11"/>
      <c r="P42" s="17"/>
      <c r="Q42" s="17"/>
      <c r="R42" s="17"/>
      <c r="S42" s="17"/>
      <c r="T42" s="17"/>
      <c r="U42" s="17"/>
      <c r="V42" s="17"/>
      <c r="W42" s="17"/>
    </row>
    <row r="43" spans="13:23" x14ac:dyDescent="0.3">
      <c r="M43" s="26"/>
      <c r="N43" s="24"/>
      <c r="O43" s="11"/>
      <c r="P43" s="17"/>
      <c r="Q43" s="17"/>
      <c r="R43" s="17"/>
      <c r="S43" s="17"/>
      <c r="T43" s="17"/>
      <c r="U43" s="17"/>
      <c r="V43" s="17"/>
      <c r="W43" s="17"/>
    </row>
    <row r="44" spans="13:23" x14ac:dyDescent="0.3">
      <c r="M44" s="26"/>
      <c r="N44" s="24"/>
      <c r="O44" s="11"/>
      <c r="P44" s="17"/>
      <c r="Q44" s="17"/>
      <c r="R44" s="17"/>
      <c r="S44" s="17"/>
      <c r="T44" s="17"/>
      <c r="U44" s="17"/>
      <c r="V44" s="17"/>
      <c r="W44" s="17"/>
    </row>
    <row r="45" spans="13:23" x14ac:dyDescent="0.3">
      <c r="M45" s="26"/>
      <c r="N45" s="24"/>
      <c r="O45" s="11"/>
      <c r="P45" s="17"/>
      <c r="Q45" s="17"/>
      <c r="R45" s="17"/>
      <c r="S45" s="17"/>
      <c r="T45" s="17"/>
      <c r="U45" s="17"/>
      <c r="V45" s="17"/>
      <c r="W45" s="17"/>
    </row>
    <row r="46" spans="13:23" x14ac:dyDescent="0.3">
      <c r="M46" s="26"/>
      <c r="N46" s="24"/>
      <c r="O46" s="11"/>
      <c r="P46" s="17"/>
      <c r="Q46" s="17"/>
      <c r="R46" s="17"/>
      <c r="S46" s="17"/>
      <c r="T46" s="17"/>
      <c r="U46" s="17"/>
      <c r="V46" s="17"/>
      <c r="W46" s="17"/>
    </row>
    <row r="47" spans="13:23" x14ac:dyDescent="0.3">
      <c r="M47" s="26"/>
      <c r="N47" s="24"/>
      <c r="O47" s="11"/>
      <c r="P47" s="17"/>
      <c r="Q47" s="17"/>
      <c r="R47" s="17"/>
      <c r="S47" s="17"/>
      <c r="T47" s="17"/>
      <c r="U47" s="17"/>
      <c r="V47" s="17"/>
      <c r="W47" s="17"/>
    </row>
    <row r="48" spans="13:23" x14ac:dyDescent="0.3">
      <c r="M48" s="26"/>
      <c r="N48" s="24"/>
      <c r="O48" s="11"/>
      <c r="P48" s="17"/>
      <c r="Q48" s="17"/>
      <c r="R48" s="17"/>
      <c r="S48" s="17"/>
      <c r="T48" s="17"/>
      <c r="U48" s="17"/>
      <c r="V48" s="17"/>
      <c r="W48" s="17"/>
    </row>
    <row r="49" spans="13:23" x14ac:dyDescent="0.3">
      <c r="M49" s="26"/>
      <c r="N49" s="24"/>
      <c r="O49" s="11"/>
      <c r="P49" s="17"/>
      <c r="Q49" s="17"/>
      <c r="R49" s="17"/>
      <c r="S49" s="17"/>
      <c r="T49" s="17"/>
      <c r="U49" s="17"/>
      <c r="V49" s="17"/>
      <c r="W49" s="17"/>
    </row>
    <row r="50" spans="13:23" x14ac:dyDescent="0.3">
      <c r="M50" s="26"/>
      <c r="N50" s="24"/>
      <c r="O50" s="11"/>
      <c r="P50" s="17"/>
      <c r="Q50" s="17"/>
      <c r="R50" s="17"/>
      <c r="S50" s="17"/>
      <c r="T50" s="17"/>
      <c r="U50" s="17"/>
      <c r="V50" s="17"/>
      <c r="W50" s="17"/>
    </row>
  </sheetData>
  <mergeCells count="2">
    <mergeCell ref="B1:J1"/>
    <mergeCell ref="N1:V1"/>
  </mergeCells>
  <conditionalFormatting sqref="O1:S18">
    <cfRule type="cellIs" dxfId="3" priority="1" operator="equal">
      <formula>"Loss"</formula>
    </cfRule>
    <cfRule type="cellIs" dxfId="2" priority="2" operator="equal">
      <formula>"Win"</formula>
    </cfRule>
  </conditionalFormatting>
  <conditionalFormatting sqref="C1:H1048576">
    <cfRule type="cellIs" dxfId="1" priority="3" operator="equal">
      <formula>"Loss"</formula>
    </cfRule>
    <cfRule type="cellIs" dxfId="0" priority="4" operator="equal">
      <formula>"Win"</formula>
    </cfRule>
  </conditionalFormatting>
  <pageMargins left="0.7" right="0.7" top="0.75" bottom="0.75" header="0.3" footer="0.3"/>
  <pageSetup orientation="portrait" r:id="rId1"/>
  <ignoredErrors>
    <ignoredError sqref="A3:K13"/>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4BA68-D99E-4FF9-8A0D-8011C5C38222}">
  <sheetPr codeName="Sheet10"/>
  <dimension ref="A1:AC40"/>
  <sheetViews>
    <sheetView showGridLines="0" workbookViewId="0">
      <selection sqref="A1:I40"/>
    </sheetView>
  </sheetViews>
  <sheetFormatPr defaultRowHeight="14.4" x14ac:dyDescent="0.3"/>
  <sheetData>
    <row r="1" spans="1:29" ht="14.55" customHeight="1" x14ac:dyDescent="0.3">
      <c r="A1" s="49" t="s">
        <v>27</v>
      </c>
      <c r="B1" s="49"/>
      <c r="C1" s="49"/>
      <c r="D1" s="49"/>
      <c r="E1" s="49"/>
      <c r="F1" s="49"/>
      <c r="G1" s="49"/>
      <c r="H1" s="49"/>
      <c r="I1" s="49"/>
      <c r="K1" s="47" t="s">
        <v>26</v>
      </c>
      <c r="L1" s="48"/>
      <c r="M1" s="48"/>
      <c r="N1" s="48"/>
      <c r="O1" s="48"/>
      <c r="P1" s="48"/>
      <c r="Q1" s="48"/>
      <c r="R1" s="48"/>
      <c r="S1" s="48"/>
      <c r="U1" s="47" t="s">
        <v>28</v>
      </c>
      <c r="V1" s="48"/>
      <c r="W1" s="48"/>
      <c r="X1" s="48"/>
      <c r="Y1" s="48"/>
      <c r="Z1" s="48"/>
      <c r="AA1" s="48"/>
      <c r="AB1" s="48"/>
      <c r="AC1" s="48"/>
    </row>
    <row r="2" spans="1:29" ht="14.55" customHeight="1" x14ac:dyDescent="0.3">
      <c r="A2" s="49"/>
      <c r="B2" s="49"/>
      <c r="C2" s="49"/>
      <c r="D2" s="49"/>
      <c r="E2" s="49"/>
      <c r="F2" s="49"/>
      <c r="G2" s="49"/>
      <c r="H2" s="49"/>
      <c r="I2" s="49"/>
      <c r="K2" s="48"/>
      <c r="L2" s="48"/>
      <c r="M2" s="48"/>
      <c r="N2" s="48"/>
      <c r="O2" s="48"/>
      <c r="P2" s="48"/>
      <c r="Q2" s="48"/>
      <c r="R2" s="48"/>
      <c r="S2" s="48"/>
      <c r="U2" s="48"/>
      <c r="V2" s="48"/>
      <c r="W2" s="48"/>
      <c r="X2" s="48"/>
      <c r="Y2" s="48"/>
      <c r="Z2" s="48"/>
      <c r="AA2" s="48"/>
      <c r="AB2" s="48"/>
      <c r="AC2" s="48"/>
    </row>
    <row r="3" spans="1:29" ht="14.55" customHeight="1" x14ac:dyDescent="0.3">
      <c r="A3" s="49"/>
      <c r="B3" s="49"/>
      <c r="C3" s="49"/>
      <c r="D3" s="49"/>
      <c r="E3" s="49"/>
      <c r="F3" s="49"/>
      <c r="G3" s="49"/>
      <c r="H3" s="49"/>
      <c r="I3" s="49"/>
      <c r="K3" s="48"/>
      <c r="L3" s="48"/>
      <c r="M3" s="48"/>
      <c r="N3" s="48"/>
      <c r="O3" s="48"/>
      <c r="P3" s="48"/>
      <c r="Q3" s="48"/>
      <c r="R3" s="48"/>
      <c r="S3" s="48"/>
      <c r="U3" s="48"/>
      <c r="V3" s="48"/>
      <c r="W3" s="48"/>
      <c r="X3" s="48"/>
      <c r="Y3" s="48"/>
      <c r="Z3" s="48"/>
      <c r="AA3" s="48"/>
      <c r="AB3" s="48"/>
      <c r="AC3" s="48"/>
    </row>
    <row r="4" spans="1:29" ht="14.55" customHeight="1" x14ac:dyDescent="0.3">
      <c r="A4" s="49"/>
      <c r="B4" s="49"/>
      <c r="C4" s="49"/>
      <c r="D4" s="49"/>
      <c r="E4" s="49"/>
      <c r="F4" s="49"/>
      <c r="G4" s="49"/>
      <c r="H4" s="49"/>
      <c r="I4" s="49"/>
      <c r="K4" s="48"/>
      <c r="L4" s="48"/>
      <c r="M4" s="48"/>
      <c r="N4" s="48"/>
      <c r="O4" s="48"/>
      <c r="P4" s="48"/>
      <c r="Q4" s="48"/>
      <c r="R4" s="48"/>
      <c r="S4" s="48"/>
      <c r="U4" s="48"/>
      <c r="V4" s="48"/>
      <c r="W4" s="48"/>
      <c r="X4" s="48"/>
      <c r="Y4" s="48"/>
      <c r="Z4" s="48"/>
      <c r="AA4" s="48"/>
      <c r="AB4" s="48"/>
      <c r="AC4" s="48"/>
    </row>
    <row r="5" spans="1:29" ht="14.55" customHeight="1" x14ac:dyDescent="0.3">
      <c r="A5" s="49"/>
      <c r="B5" s="49"/>
      <c r="C5" s="49"/>
      <c r="D5" s="49"/>
      <c r="E5" s="49"/>
      <c r="F5" s="49"/>
      <c r="G5" s="49"/>
      <c r="H5" s="49"/>
      <c r="I5" s="49"/>
      <c r="K5" s="48"/>
      <c r="L5" s="48"/>
      <c r="M5" s="48"/>
      <c r="N5" s="48"/>
      <c r="O5" s="48"/>
      <c r="P5" s="48"/>
      <c r="Q5" s="48"/>
      <c r="R5" s="48"/>
      <c r="S5" s="48"/>
      <c r="U5" s="48"/>
      <c r="V5" s="48"/>
      <c r="W5" s="48"/>
      <c r="X5" s="48"/>
      <c r="Y5" s="48"/>
      <c r="Z5" s="48"/>
      <c r="AA5" s="48"/>
      <c r="AB5" s="48"/>
      <c r="AC5" s="48"/>
    </row>
    <row r="6" spans="1:29" ht="14.55" customHeight="1" x14ac:dyDescent="0.3">
      <c r="A6" s="49"/>
      <c r="B6" s="49"/>
      <c r="C6" s="49"/>
      <c r="D6" s="49"/>
      <c r="E6" s="49"/>
      <c r="F6" s="49"/>
      <c r="G6" s="49"/>
      <c r="H6" s="49"/>
      <c r="I6" s="49"/>
      <c r="K6" s="48"/>
      <c r="L6" s="48"/>
      <c r="M6" s="48"/>
      <c r="N6" s="48"/>
      <c r="O6" s="48"/>
      <c r="P6" s="48"/>
      <c r="Q6" s="48"/>
      <c r="R6" s="48"/>
      <c r="S6" s="48"/>
      <c r="U6" s="48"/>
      <c r="V6" s="48"/>
      <c r="W6" s="48"/>
      <c r="X6" s="48"/>
      <c r="Y6" s="48"/>
      <c r="Z6" s="48"/>
      <c r="AA6" s="48"/>
      <c r="AB6" s="48"/>
      <c r="AC6" s="48"/>
    </row>
    <row r="7" spans="1:29" ht="14.55" customHeight="1" x14ac:dyDescent="0.3">
      <c r="A7" s="49"/>
      <c r="B7" s="49"/>
      <c r="C7" s="49"/>
      <c r="D7" s="49"/>
      <c r="E7" s="49"/>
      <c r="F7" s="49"/>
      <c r="G7" s="49"/>
      <c r="H7" s="49"/>
      <c r="I7" s="49"/>
      <c r="K7" s="48"/>
      <c r="L7" s="48"/>
      <c r="M7" s="48"/>
      <c r="N7" s="48"/>
      <c r="O7" s="48"/>
      <c r="P7" s="48"/>
      <c r="Q7" s="48"/>
      <c r="R7" s="48"/>
      <c r="S7" s="48"/>
      <c r="U7" s="48"/>
      <c r="V7" s="48"/>
      <c r="W7" s="48"/>
      <c r="X7" s="48"/>
      <c r="Y7" s="48"/>
      <c r="Z7" s="48"/>
      <c r="AA7" s="48"/>
      <c r="AB7" s="48"/>
      <c r="AC7" s="48"/>
    </row>
    <row r="8" spans="1:29" ht="14.55" customHeight="1" x14ac:dyDescent="0.3">
      <c r="A8" s="49"/>
      <c r="B8" s="49"/>
      <c r="C8" s="49"/>
      <c r="D8" s="49"/>
      <c r="E8" s="49"/>
      <c r="F8" s="49"/>
      <c r="G8" s="49"/>
      <c r="H8" s="49"/>
      <c r="I8" s="49"/>
      <c r="K8" s="48"/>
      <c r="L8" s="48"/>
      <c r="M8" s="48"/>
      <c r="N8" s="48"/>
      <c r="O8" s="48"/>
      <c r="P8" s="48"/>
      <c r="Q8" s="48"/>
      <c r="R8" s="48"/>
      <c r="S8" s="48"/>
      <c r="U8" s="48"/>
      <c r="V8" s="48"/>
      <c r="W8" s="48"/>
      <c r="X8" s="48"/>
      <c r="Y8" s="48"/>
      <c r="Z8" s="48"/>
      <c r="AA8" s="48"/>
      <c r="AB8" s="48"/>
      <c r="AC8" s="48"/>
    </row>
    <row r="9" spans="1:29" ht="14.55" customHeight="1" x14ac:dyDescent="0.3">
      <c r="A9" s="49"/>
      <c r="B9" s="49"/>
      <c r="C9" s="49"/>
      <c r="D9" s="49"/>
      <c r="E9" s="49"/>
      <c r="F9" s="49"/>
      <c r="G9" s="49"/>
      <c r="H9" s="49"/>
      <c r="I9" s="49"/>
      <c r="K9" s="48"/>
      <c r="L9" s="48"/>
      <c r="M9" s="48"/>
      <c r="N9" s="48"/>
      <c r="O9" s="48"/>
      <c r="P9" s="48"/>
      <c r="Q9" s="48"/>
      <c r="R9" s="48"/>
      <c r="S9" s="48"/>
      <c r="U9" s="48"/>
      <c r="V9" s="48"/>
      <c r="W9" s="48"/>
      <c r="X9" s="48"/>
      <c r="Y9" s="48"/>
      <c r="Z9" s="48"/>
      <c r="AA9" s="48"/>
      <c r="AB9" s="48"/>
      <c r="AC9" s="48"/>
    </row>
    <row r="10" spans="1:29" ht="14.55" customHeight="1" x14ac:dyDescent="0.3">
      <c r="A10" s="49"/>
      <c r="B10" s="49"/>
      <c r="C10" s="49"/>
      <c r="D10" s="49"/>
      <c r="E10" s="49"/>
      <c r="F10" s="49"/>
      <c r="G10" s="49"/>
      <c r="H10" s="49"/>
      <c r="I10" s="49"/>
      <c r="K10" s="48"/>
      <c r="L10" s="48"/>
      <c r="M10" s="48"/>
      <c r="N10" s="48"/>
      <c r="O10" s="48"/>
      <c r="P10" s="48"/>
      <c r="Q10" s="48"/>
      <c r="R10" s="48"/>
      <c r="S10" s="48"/>
      <c r="U10" s="48"/>
      <c r="V10" s="48"/>
      <c r="W10" s="48"/>
      <c r="X10" s="48"/>
      <c r="Y10" s="48"/>
      <c r="Z10" s="48"/>
      <c r="AA10" s="48"/>
      <c r="AB10" s="48"/>
      <c r="AC10" s="48"/>
    </row>
    <row r="11" spans="1:29" ht="14.55" customHeight="1" x14ac:dyDescent="0.3">
      <c r="A11" s="49"/>
      <c r="B11" s="49"/>
      <c r="C11" s="49"/>
      <c r="D11" s="49"/>
      <c r="E11" s="49"/>
      <c r="F11" s="49"/>
      <c r="G11" s="49"/>
      <c r="H11" s="49"/>
      <c r="I11" s="49"/>
      <c r="K11" s="48"/>
      <c r="L11" s="48"/>
      <c r="M11" s="48"/>
      <c r="N11" s="48"/>
      <c r="O11" s="48"/>
      <c r="P11" s="48"/>
      <c r="Q11" s="48"/>
      <c r="R11" s="48"/>
      <c r="S11" s="48"/>
      <c r="U11" s="48"/>
      <c r="V11" s="48"/>
      <c r="W11" s="48"/>
      <c r="X11" s="48"/>
      <c r="Y11" s="48"/>
      <c r="Z11" s="48"/>
      <c r="AA11" s="48"/>
      <c r="AB11" s="48"/>
      <c r="AC11" s="48"/>
    </row>
    <row r="12" spans="1:29" ht="14.55" customHeight="1" x14ac:dyDescent="0.3">
      <c r="A12" s="49"/>
      <c r="B12" s="49"/>
      <c r="C12" s="49"/>
      <c r="D12" s="49"/>
      <c r="E12" s="49"/>
      <c r="F12" s="49"/>
      <c r="G12" s="49"/>
      <c r="H12" s="49"/>
      <c r="I12" s="49"/>
      <c r="K12" s="48"/>
      <c r="L12" s="48"/>
      <c r="M12" s="48"/>
      <c r="N12" s="48"/>
      <c r="O12" s="48"/>
      <c r="P12" s="48"/>
      <c r="Q12" s="48"/>
      <c r="R12" s="48"/>
      <c r="S12" s="48"/>
      <c r="U12" s="48"/>
      <c r="V12" s="48"/>
      <c r="W12" s="48"/>
      <c r="X12" s="48"/>
      <c r="Y12" s="48"/>
      <c r="Z12" s="48"/>
      <c r="AA12" s="48"/>
      <c r="AB12" s="48"/>
      <c r="AC12" s="48"/>
    </row>
    <row r="13" spans="1:29" ht="14.55" customHeight="1" x14ac:dyDescent="0.3">
      <c r="A13" s="49"/>
      <c r="B13" s="49"/>
      <c r="C13" s="49"/>
      <c r="D13" s="49"/>
      <c r="E13" s="49"/>
      <c r="F13" s="49"/>
      <c r="G13" s="49"/>
      <c r="H13" s="49"/>
      <c r="I13" s="49"/>
      <c r="K13" s="48"/>
      <c r="L13" s="48"/>
      <c r="M13" s="48"/>
      <c r="N13" s="48"/>
      <c r="O13" s="48"/>
      <c r="P13" s="48"/>
      <c r="Q13" s="48"/>
      <c r="R13" s="48"/>
      <c r="S13" s="48"/>
      <c r="U13" s="48"/>
      <c r="V13" s="48"/>
      <c r="W13" s="48"/>
      <c r="X13" s="48"/>
      <c r="Y13" s="48"/>
      <c r="Z13" s="48"/>
      <c r="AA13" s="48"/>
      <c r="AB13" s="48"/>
      <c r="AC13" s="48"/>
    </row>
    <row r="14" spans="1:29" ht="14.55" customHeight="1" x14ac:dyDescent="0.3">
      <c r="A14" s="49"/>
      <c r="B14" s="49"/>
      <c r="C14" s="49"/>
      <c r="D14" s="49"/>
      <c r="E14" s="49"/>
      <c r="F14" s="49"/>
      <c r="G14" s="49"/>
      <c r="H14" s="49"/>
      <c r="I14" s="49"/>
      <c r="K14" s="48"/>
      <c r="L14" s="48"/>
      <c r="M14" s="48"/>
      <c r="N14" s="48"/>
      <c r="O14" s="48"/>
      <c r="P14" s="48"/>
      <c r="Q14" s="48"/>
      <c r="R14" s="48"/>
      <c r="S14" s="48"/>
      <c r="U14" s="48"/>
      <c r="V14" s="48"/>
      <c r="W14" s="48"/>
      <c r="X14" s="48"/>
      <c r="Y14" s="48"/>
      <c r="Z14" s="48"/>
      <c r="AA14" s="48"/>
      <c r="AB14" s="48"/>
      <c r="AC14" s="48"/>
    </row>
    <row r="15" spans="1:29" ht="14.55" customHeight="1" x14ac:dyDescent="0.3">
      <c r="A15" s="49"/>
      <c r="B15" s="49"/>
      <c r="C15" s="49"/>
      <c r="D15" s="49"/>
      <c r="E15" s="49"/>
      <c r="F15" s="49"/>
      <c r="G15" s="49"/>
      <c r="H15" s="49"/>
      <c r="I15" s="49"/>
      <c r="K15" s="48"/>
      <c r="L15" s="48"/>
      <c r="M15" s="48"/>
      <c r="N15" s="48"/>
      <c r="O15" s="48"/>
      <c r="P15" s="48"/>
      <c r="Q15" s="48"/>
      <c r="R15" s="48"/>
      <c r="S15" s="48"/>
      <c r="U15" s="48"/>
      <c r="V15" s="48"/>
      <c r="W15" s="48"/>
      <c r="X15" s="48"/>
      <c r="Y15" s="48"/>
      <c r="Z15" s="48"/>
      <c r="AA15" s="48"/>
      <c r="AB15" s="48"/>
      <c r="AC15" s="48"/>
    </row>
    <row r="16" spans="1:29" ht="14.55" customHeight="1" x14ac:dyDescent="0.3">
      <c r="A16" s="49"/>
      <c r="B16" s="49"/>
      <c r="C16" s="49"/>
      <c r="D16" s="49"/>
      <c r="E16" s="49"/>
      <c r="F16" s="49"/>
      <c r="G16" s="49"/>
      <c r="H16" s="49"/>
      <c r="I16" s="49"/>
      <c r="K16" s="48"/>
      <c r="L16" s="48"/>
      <c r="M16" s="48"/>
      <c r="N16" s="48"/>
      <c r="O16" s="48"/>
      <c r="P16" s="48"/>
      <c r="Q16" s="48"/>
      <c r="R16" s="48"/>
      <c r="S16" s="48"/>
      <c r="U16" s="48"/>
      <c r="V16" s="48"/>
      <c r="W16" s="48"/>
      <c r="X16" s="48"/>
      <c r="Y16" s="48"/>
      <c r="Z16" s="48"/>
      <c r="AA16" s="48"/>
      <c r="AB16" s="48"/>
      <c r="AC16" s="48"/>
    </row>
    <row r="17" spans="1:29" ht="14.55" customHeight="1" x14ac:dyDescent="0.3">
      <c r="A17" s="49"/>
      <c r="B17" s="49"/>
      <c r="C17" s="49"/>
      <c r="D17" s="49"/>
      <c r="E17" s="49"/>
      <c r="F17" s="49"/>
      <c r="G17" s="49"/>
      <c r="H17" s="49"/>
      <c r="I17" s="49"/>
      <c r="K17" s="48"/>
      <c r="L17" s="48"/>
      <c r="M17" s="48"/>
      <c r="N17" s="48"/>
      <c r="O17" s="48"/>
      <c r="P17" s="48"/>
      <c r="Q17" s="48"/>
      <c r="R17" s="48"/>
      <c r="S17" s="48"/>
      <c r="U17" s="48"/>
      <c r="V17" s="48"/>
      <c r="W17" s="48"/>
      <c r="X17" s="48"/>
      <c r="Y17" s="48"/>
      <c r="Z17" s="48"/>
      <c r="AA17" s="48"/>
      <c r="AB17" s="48"/>
      <c r="AC17" s="48"/>
    </row>
    <row r="18" spans="1:29" ht="14.55" customHeight="1" x14ac:dyDescent="0.3">
      <c r="A18" s="49"/>
      <c r="B18" s="49"/>
      <c r="C18" s="49"/>
      <c r="D18" s="49"/>
      <c r="E18" s="49"/>
      <c r="F18" s="49"/>
      <c r="G18" s="49"/>
      <c r="H18" s="49"/>
      <c r="I18" s="49"/>
      <c r="K18" s="48"/>
      <c r="L18" s="48"/>
      <c r="M18" s="48"/>
      <c r="N18" s="48"/>
      <c r="O18" s="48"/>
      <c r="P18" s="48"/>
      <c r="Q18" s="48"/>
      <c r="R18" s="48"/>
      <c r="S18" s="48"/>
      <c r="U18" s="48"/>
      <c r="V18" s="48"/>
      <c r="W18" s="48"/>
      <c r="X18" s="48"/>
      <c r="Y18" s="48"/>
      <c r="Z18" s="48"/>
      <c r="AA18" s="48"/>
      <c r="AB18" s="48"/>
      <c r="AC18" s="48"/>
    </row>
    <row r="19" spans="1:29" ht="14.55" customHeight="1" x14ac:dyDescent="0.3">
      <c r="A19" s="49"/>
      <c r="B19" s="49"/>
      <c r="C19" s="49"/>
      <c r="D19" s="49"/>
      <c r="E19" s="49"/>
      <c r="F19" s="49"/>
      <c r="G19" s="49"/>
      <c r="H19" s="49"/>
      <c r="I19" s="49"/>
      <c r="K19" s="48"/>
      <c r="L19" s="48"/>
      <c r="M19" s="48"/>
      <c r="N19" s="48"/>
      <c r="O19" s="48"/>
      <c r="P19" s="48"/>
      <c r="Q19" s="48"/>
      <c r="R19" s="48"/>
      <c r="S19" s="48"/>
      <c r="U19" s="48"/>
      <c r="V19" s="48"/>
      <c r="W19" s="48"/>
      <c r="X19" s="48"/>
      <c r="Y19" s="48"/>
      <c r="Z19" s="48"/>
      <c r="AA19" s="48"/>
      <c r="AB19" s="48"/>
      <c r="AC19" s="48"/>
    </row>
    <row r="20" spans="1:29" ht="14.55" customHeight="1" x14ac:dyDescent="0.3">
      <c r="A20" s="49"/>
      <c r="B20" s="49"/>
      <c r="C20" s="49"/>
      <c r="D20" s="49"/>
      <c r="E20" s="49"/>
      <c r="F20" s="49"/>
      <c r="G20" s="49"/>
      <c r="H20" s="49"/>
      <c r="I20" s="49"/>
      <c r="K20" s="48"/>
      <c r="L20" s="48"/>
      <c r="M20" s="48"/>
      <c r="N20" s="48"/>
      <c r="O20" s="48"/>
      <c r="P20" s="48"/>
      <c r="Q20" s="48"/>
      <c r="R20" s="48"/>
      <c r="S20" s="48"/>
      <c r="U20" s="48"/>
      <c r="V20" s="48"/>
      <c r="W20" s="48"/>
      <c r="X20" s="48"/>
      <c r="Y20" s="48"/>
      <c r="Z20" s="48"/>
      <c r="AA20" s="48"/>
      <c r="AB20" s="48"/>
      <c r="AC20" s="48"/>
    </row>
    <row r="21" spans="1:29" ht="14.55" customHeight="1" x14ac:dyDescent="0.3">
      <c r="A21" s="49"/>
      <c r="B21" s="49"/>
      <c r="C21" s="49"/>
      <c r="D21" s="49"/>
      <c r="E21" s="49"/>
      <c r="F21" s="49"/>
      <c r="G21" s="49"/>
      <c r="H21" s="49"/>
      <c r="I21" s="49"/>
      <c r="K21" s="48"/>
      <c r="L21" s="48"/>
      <c r="M21" s="48"/>
      <c r="N21" s="48"/>
      <c r="O21" s="48"/>
      <c r="P21" s="48"/>
      <c r="Q21" s="48"/>
      <c r="R21" s="48"/>
      <c r="S21" s="48"/>
      <c r="U21" s="48"/>
      <c r="V21" s="48"/>
      <c r="W21" s="48"/>
      <c r="X21" s="48"/>
      <c r="Y21" s="48"/>
      <c r="Z21" s="48"/>
      <c r="AA21" s="48"/>
      <c r="AB21" s="48"/>
      <c r="AC21" s="48"/>
    </row>
    <row r="22" spans="1:29" ht="14.55" customHeight="1" x14ac:dyDescent="0.3">
      <c r="A22" s="49"/>
      <c r="B22" s="49"/>
      <c r="C22" s="49"/>
      <c r="D22" s="49"/>
      <c r="E22" s="49"/>
      <c r="F22" s="49"/>
      <c r="G22" s="49"/>
      <c r="H22" s="49"/>
      <c r="I22" s="49"/>
      <c r="K22" s="48"/>
      <c r="L22" s="48"/>
      <c r="M22" s="48"/>
      <c r="N22" s="48"/>
      <c r="O22" s="48"/>
      <c r="P22" s="48"/>
      <c r="Q22" s="48"/>
      <c r="R22" s="48"/>
      <c r="S22" s="48"/>
      <c r="U22" s="48"/>
      <c r="V22" s="48"/>
      <c r="W22" s="48"/>
      <c r="X22" s="48"/>
      <c r="Y22" s="48"/>
      <c r="Z22" s="48"/>
      <c r="AA22" s="48"/>
      <c r="AB22" s="48"/>
      <c r="AC22" s="48"/>
    </row>
    <row r="23" spans="1:29" ht="14.55" customHeight="1" x14ac:dyDescent="0.3">
      <c r="A23" s="49"/>
      <c r="B23" s="49"/>
      <c r="C23" s="49"/>
      <c r="D23" s="49"/>
      <c r="E23" s="49"/>
      <c r="F23" s="49"/>
      <c r="G23" s="49"/>
      <c r="H23" s="49"/>
      <c r="I23" s="49"/>
      <c r="K23" s="48"/>
      <c r="L23" s="48"/>
      <c r="M23" s="48"/>
      <c r="N23" s="48"/>
      <c r="O23" s="48"/>
      <c r="P23" s="48"/>
      <c r="Q23" s="48"/>
      <c r="R23" s="48"/>
      <c r="S23" s="48"/>
      <c r="U23" s="48"/>
      <c r="V23" s="48"/>
      <c r="W23" s="48"/>
      <c r="X23" s="48"/>
      <c r="Y23" s="48"/>
      <c r="Z23" s="48"/>
      <c r="AA23" s="48"/>
      <c r="AB23" s="48"/>
      <c r="AC23" s="48"/>
    </row>
    <row r="24" spans="1:29" ht="14.55" customHeight="1" x14ac:dyDescent="0.3">
      <c r="A24" s="49"/>
      <c r="B24" s="49"/>
      <c r="C24" s="49"/>
      <c r="D24" s="49"/>
      <c r="E24" s="49"/>
      <c r="F24" s="49"/>
      <c r="G24" s="49"/>
      <c r="H24" s="49"/>
      <c r="I24" s="49"/>
      <c r="K24" s="48"/>
      <c r="L24" s="48"/>
      <c r="M24" s="48"/>
      <c r="N24" s="48"/>
      <c r="O24" s="48"/>
      <c r="P24" s="48"/>
      <c r="Q24" s="48"/>
      <c r="R24" s="48"/>
      <c r="S24" s="48"/>
      <c r="U24" s="48"/>
      <c r="V24" s="48"/>
      <c r="W24" s="48"/>
      <c r="X24" s="48"/>
      <c r="Y24" s="48"/>
      <c r="Z24" s="48"/>
      <c r="AA24" s="48"/>
      <c r="AB24" s="48"/>
      <c r="AC24" s="48"/>
    </row>
    <row r="25" spans="1:29" ht="14.55" customHeight="1" x14ac:dyDescent="0.3">
      <c r="A25" s="49"/>
      <c r="B25" s="49"/>
      <c r="C25" s="49"/>
      <c r="D25" s="49"/>
      <c r="E25" s="49"/>
      <c r="F25" s="49"/>
      <c r="G25" s="49"/>
      <c r="H25" s="49"/>
      <c r="I25" s="49"/>
      <c r="K25" s="48"/>
      <c r="L25" s="48"/>
      <c r="M25" s="48"/>
      <c r="N25" s="48"/>
      <c r="O25" s="48"/>
      <c r="P25" s="48"/>
      <c r="Q25" s="48"/>
      <c r="R25" s="48"/>
      <c r="S25" s="48"/>
      <c r="U25" s="48"/>
      <c r="V25" s="48"/>
      <c r="W25" s="48"/>
      <c r="X25" s="48"/>
      <c r="Y25" s="48"/>
      <c r="Z25" s="48"/>
      <c r="AA25" s="48"/>
      <c r="AB25" s="48"/>
      <c r="AC25" s="48"/>
    </row>
    <row r="26" spans="1:29" ht="14.55" customHeight="1" x14ac:dyDescent="0.3">
      <c r="A26" s="49"/>
      <c r="B26" s="49"/>
      <c r="C26" s="49"/>
      <c r="D26" s="49"/>
      <c r="E26" s="49"/>
      <c r="F26" s="49"/>
      <c r="G26" s="49"/>
      <c r="H26" s="49"/>
      <c r="I26" s="49"/>
      <c r="K26" s="48"/>
      <c r="L26" s="48"/>
      <c r="M26" s="48"/>
      <c r="N26" s="48"/>
      <c r="O26" s="48"/>
      <c r="P26" s="48"/>
      <c r="Q26" s="48"/>
      <c r="R26" s="48"/>
      <c r="S26" s="48"/>
      <c r="U26" s="48"/>
      <c r="V26" s="48"/>
      <c r="W26" s="48"/>
      <c r="X26" s="48"/>
      <c r="Y26" s="48"/>
      <c r="Z26" s="48"/>
      <c r="AA26" s="48"/>
      <c r="AB26" s="48"/>
      <c r="AC26" s="48"/>
    </row>
    <row r="27" spans="1:29" ht="14.55" customHeight="1" x14ac:dyDescent="0.3">
      <c r="A27" s="49"/>
      <c r="B27" s="49"/>
      <c r="C27" s="49"/>
      <c r="D27" s="49"/>
      <c r="E27" s="49"/>
      <c r="F27" s="49"/>
      <c r="G27" s="49"/>
      <c r="H27" s="49"/>
      <c r="I27" s="49"/>
      <c r="K27" s="48"/>
      <c r="L27" s="48"/>
      <c r="M27" s="48"/>
      <c r="N27" s="48"/>
      <c r="O27" s="48"/>
      <c r="P27" s="48"/>
      <c r="Q27" s="48"/>
      <c r="R27" s="48"/>
      <c r="S27" s="48"/>
      <c r="U27" s="48"/>
      <c r="V27" s="48"/>
      <c r="W27" s="48"/>
      <c r="X27" s="48"/>
      <c r="Y27" s="48"/>
      <c r="Z27" s="48"/>
      <c r="AA27" s="48"/>
      <c r="AB27" s="48"/>
      <c r="AC27" s="48"/>
    </row>
    <row r="28" spans="1:29" ht="14.55" customHeight="1" x14ac:dyDescent="0.3">
      <c r="A28" s="49"/>
      <c r="B28" s="49"/>
      <c r="C28" s="49"/>
      <c r="D28" s="49"/>
      <c r="E28" s="49"/>
      <c r="F28" s="49"/>
      <c r="G28" s="49"/>
      <c r="H28" s="49"/>
      <c r="I28" s="49"/>
      <c r="K28" s="48"/>
      <c r="L28" s="48"/>
      <c r="M28" s="48"/>
      <c r="N28" s="48"/>
      <c r="O28" s="48"/>
      <c r="P28" s="48"/>
      <c r="Q28" s="48"/>
      <c r="R28" s="48"/>
      <c r="S28" s="48"/>
      <c r="U28" s="48"/>
      <c r="V28" s="48"/>
      <c r="W28" s="48"/>
      <c r="X28" s="48"/>
      <c r="Y28" s="48"/>
      <c r="Z28" s="48"/>
      <c r="AA28" s="48"/>
      <c r="AB28" s="48"/>
      <c r="AC28" s="48"/>
    </row>
    <row r="29" spans="1:29" ht="14.55" customHeight="1" x14ac:dyDescent="0.3">
      <c r="A29" s="49"/>
      <c r="B29" s="49"/>
      <c r="C29" s="49"/>
      <c r="D29" s="49"/>
      <c r="E29" s="49"/>
      <c r="F29" s="49"/>
      <c r="G29" s="49"/>
      <c r="H29" s="49"/>
      <c r="I29" s="49"/>
      <c r="K29" s="48"/>
      <c r="L29" s="48"/>
      <c r="M29" s="48"/>
      <c r="N29" s="48"/>
      <c r="O29" s="48"/>
      <c r="P29" s="48"/>
      <c r="Q29" s="48"/>
      <c r="R29" s="48"/>
      <c r="S29" s="48"/>
      <c r="U29" s="48"/>
      <c r="V29" s="48"/>
      <c r="W29" s="48"/>
      <c r="X29" s="48"/>
      <c r="Y29" s="48"/>
      <c r="Z29" s="48"/>
      <c r="AA29" s="48"/>
      <c r="AB29" s="48"/>
      <c r="AC29" s="48"/>
    </row>
    <row r="30" spans="1:29" ht="14.55" customHeight="1" x14ac:dyDescent="0.3">
      <c r="A30" s="49"/>
      <c r="B30" s="49"/>
      <c r="C30" s="49"/>
      <c r="D30" s="49"/>
      <c r="E30" s="49"/>
      <c r="F30" s="49"/>
      <c r="G30" s="49"/>
      <c r="H30" s="49"/>
      <c r="I30" s="49"/>
      <c r="K30" s="48"/>
      <c r="L30" s="48"/>
      <c r="M30" s="48"/>
      <c r="N30" s="48"/>
      <c r="O30" s="48"/>
      <c r="P30" s="48"/>
      <c r="Q30" s="48"/>
      <c r="R30" s="48"/>
      <c r="S30" s="48"/>
      <c r="U30" s="48"/>
      <c r="V30" s="48"/>
      <c r="W30" s="48"/>
      <c r="X30" s="48"/>
      <c r="Y30" s="48"/>
      <c r="Z30" s="48"/>
      <c r="AA30" s="48"/>
      <c r="AB30" s="48"/>
      <c r="AC30" s="48"/>
    </row>
    <row r="31" spans="1:29" ht="14.55" customHeight="1" x14ac:dyDescent="0.3">
      <c r="A31" s="49"/>
      <c r="B31" s="49"/>
      <c r="C31" s="49"/>
      <c r="D31" s="49"/>
      <c r="E31" s="49"/>
      <c r="F31" s="49"/>
      <c r="G31" s="49"/>
      <c r="H31" s="49"/>
      <c r="I31" s="49"/>
      <c r="K31" s="48"/>
      <c r="L31" s="48"/>
      <c r="M31" s="48"/>
      <c r="N31" s="48"/>
      <c r="O31" s="48"/>
      <c r="P31" s="48"/>
      <c r="Q31" s="48"/>
      <c r="R31" s="48"/>
      <c r="S31" s="48"/>
      <c r="U31" s="48"/>
      <c r="V31" s="48"/>
      <c r="W31" s="48"/>
      <c r="X31" s="48"/>
      <c r="Y31" s="48"/>
      <c r="Z31" s="48"/>
      <c r="AA31" s="48"/>
      <c r="AB31" s="48"/>
      <c r="AC31" s="48"/>
    </row>
    <row r="32" spans="1:29" ht="14.55" customHeight="1" x14ac:dyDescent="0.3">
      <c r="A32" s="49"/>
      <c r="B32" s="49"/>
      <c r="C32" s="49"/>
      <c r="D32" s="49"/>
      <c r="E32" s="49"/>
      <c r="F32" s="49"/>
      <c r="G32" s="49"/>
      <c r="H32" s="49"/>
      <c r="I32" s="49"/>
      <c r="K32" s="48"/>
      <c r="L32" s="48"/>
      <c r="M32" s="48"/>
      <c r="N32" s="48"/>
      <c r="O32" s="48"/>
      <c r="P32" s="48"/>
      <c r="Q32" s="48"/>
      <c r="R32" s="48"/>
      <c r="S32" s="48"/>
      <c r="U32" s="48"/>
      <c r="V32" s="48"/>
      <c r="W32" s="48"/>
      <c r="X32" s="48"/>
      <c r="Y32" s="48"/>
      <c r="Z32" s="48"/>
      <c r="AA32" s="48"/>
      <c r="AB32" s="48"/>
      <c r="AC32" s="48"/>
    </row>
    <row r="33" spans="1:29" ht="14.55" customHeight="1" x14ac:dyDescent="0.3">
      <c r="A33" s="49"/>
      <c r="B33" s="49"/>
      <c r="C33" s="49"/>
      <c r="D33" s="49"/>
      <c r="E33" s="49"/>
      <c r="F33" s="49"/>
      <c r="G33" s="49"/>
      <c r="H33" s="49"/>
      <c r="I33" s="49"/>
      <c r="K33" s="48"/>
      <c r="L33" s="48"/>
      <c r="M33" s="48"/>
      <c r="N33" s="48"/>
      <c r="O33" s="48"/>
      <c r="P33" s="48"/>
      <c r="Q33" s="48"/>
      <c r="R33" s="48"/>
      <c r="S33" s="48"/>
      <c r="U33" s="48"/>
      <c r="V33" s="48"/>
      <c r="W33" s="48"/>
      <c r="X33" s="48"/>
      <c r="Y33" s="48"/>
      <c r="Z33" s="48"/>
      <c r="AA33" s="48"/>
      <c r="AB33" s="48"/>
      <c r="AC33" s="48"/>
    </row>
    <row r="34" spans="1:29" ht="14.55" customHeight="1" x14ac:dyDescent="0.3">
      <c r="A34" s="49"/>
      <c r="B34" s="49"/>
      <c r="C34" s="49"/>
      <c r="D34" s="49"/>
      <c r="E34" s="49"/>
      <c r="F34" s="49"/>
      <c r="G34" s="49"/>
      <c r="H34" s="49"/>
      <c r="I34" s="49"/>
      <c r="K34" s="48"/>
      <c r="L34" s="48"/>
      <c r="M34" s="48"/>
      <c r="N34" s="48"/>
      <c r="O34" s="48"/>
      <c r="P34" s="48"/>
      <c r="Q34" s="48"/>
      <c r="R34" s="48"/>
      <c r="S34" s="48"/>
      <c r="U34" s="48"/>
      <c r="V34" s="48"/>
      <c r="W34" s="48"/>
      <c r="X34" s="48"/>
      <c r="Y34" s="48"/>
      <c r="Z34" s="48"/>
      <c r="AA34" s="48"/>
      <c r="AB34" s="48"/>
      <c r="AC34" s="48"/>
    </row>
    <row r="35" spans="1:29" ht="14.55" customHeight="1" x14ac:dyDescent="0.3">
      <c r="A35" s="49"/>
      <c r="B35" s="49"/>
      <c r="C35" s="49"/>
      <c r="D35" s="49"/>
      <c r="E35" s="49"/>
      <c r="F35" s="49"/>
      <c r="G35" s="49"/>
      <c r="H35" s="49"/>
      <c r="I35" s="49"/>
      <c r="K35" s="48"/>
      <c r="L35" s="48"/>
      <c r="M35" s="48"/>
      <c r="N35" s="48"/>
      <c r="O35" s="48"/>
      <c r="P35" s="48"/>
      <c r="Q35" s="48"/>
      <c r="R35" s="48"/>
      <c r="S35" s="48"/>
      <c r="U35" s="48"/>
      <c r="V35" s="48"/>
      <c r="W35" s="48"/>
      <c r="X35" s="48"/>
      <c r="Y35" s="48"/>
      <c r="Z35" s="48"/>
      <c r="AA35" s="48"/>
      <c r="AB35" s="48"/>
      <c r="AC35" s="48"/>
    </row>
    <row r="36" spans="1:29" ht="14.55" customHeight="1" x14ac:dyDescent="0.3">
      <c r="A36" s="49"/>
      <c r="B36" s="49"/>
      <c r="C36" s="49"/>
      <c r="D36" s="49"/>
      <c r="E36" s="49"/>
      <c r="F36" s="49"/>
      <c r="G36" s="49"/>
      <c r="H36" s="49"/>
      <c r="I36" s="49"/>
      <c r="K36" s="48"/>
      <c r="L36" s="48"/>
      <c r="M36" s="48"/>
      <c r="N36" s="48"/>
      <c r="O36" s="48"/>
      <c r="P36" s="48"/>
      <c r="Q36" s="48"/>
      <c r="R36" s="48"/>
      <c r="S36" s="48"/>
      <c r="U36" s="48"/>
      <c r="V36" s="48"/>
      <c r="W36" s="48"/>
      <c r="X36" s="48"/>
      <c r="Y36" s="48"/>
      <c r="Z36" s="48"/>
      <c r="AA36" s="48"/>
      <c r="AB36" s="48"/>
      <c r="AC36" s="48"/>
    </row>
    <row r="37" spans="1:29" ht="14.55" customHeight="1" x14ac:dyDescent="0.3">
      <c r="A37" s="49"/>
      <c r="B37" s="49"/>
      <c r="C37" s="49"/>
      <c r="D37" s="49"/>
      <c r="E37" s="49"/>
      <c r="F37" s="49"/>
      <c r="G37" s="49"/>
      <c r="H37" s="49"/>
      <c r="I37" s="49"/>
      <c r="K37" s="48"/>
      <c r="L37" s="48"/>
      <c r="M37" s="48"/>
      <c r="N37" s="48"/>
      <c r="O37" s="48"/>
      <c r="P37" s="48"/>
      <c r="Q37" s="48"/>
      <c r="R37" s="48"/>
      <c r="S37" s="48"/>
      <c r="U37" s="48"/>
      <c r="V37" s="48"/>
      <c r="W37" s="48"/>
      <c r="X37" s="48"/>
      <c r="Y37" s="48"/>
      <c r="Z37" s="48"/>
      <c r="AA37" s="48"/>
      <c r="AB37" s="48"/>
      <c r="AC37" s="48"/>
    </row>
    <row r="38" spans="1:29" ht="14.55" customHeight="1" x14ac:dyDescent="0.3">
      <c r="A38" s="49"/>
      <c r="B38" s="49"/>
      <c r="C38" s="49"/>
      <c r="D38" s="49"/>
      <c r="E38" s="49"/>
      <c r="F38" s="49"/>
      <c r="G38" s="49"/>
      <c r="H38" s="49"/>
      <c r="I38" s="49"/>
      <c r="K38" s="48"/>
      <c r="L38" s="48"/>
      <c r="M38" s="48"/>
      <c r="N38" s="48"/>
      <c r="O38" s="48"/>
      <c r="P38" s="48"/>
      <c r="Q38" s="48"/>
      <c r="R38" s="48"/>
      <c r="S38" s="48"/>
      <c r="U38" s="48"/>
      <c r="V38" s="48"/>
      <c r="W38" s="48"/>
      <c r="X38" s="48"/>
      <c r="Y38" s="48"/>
      <c r="Z38" s="48"/>
      <c r="AA38" s="48"/>
      <c r="AB38" s="48"/>
      <c r="AC38" s="48"/>
    </row>
    <row r="39" spans="1:29" ht="14.55" customHeight="1" x14ac:dyDescent="0.3">
      <c r="A39" s="49"/>
      <c r="B39" s="49"/>
      <c r="C39" s="49"/>
      <c r="D39" s="49"/>
      <c r="E39" s="49"/>
      <c r="F39" s="49"/>
      <c r="G39" s="49"/>
      <c r="H39" s="49"/>
      <c r="I39" s="49"/>
      <c r="K39" s="48"/>
      <c r="L39" s="48"/>
      <c r="M39" s="48"/>
      <c r="N39" s="48"/>
      <c r="O39" s="48"/>
      <c r="P39" s="48"/>
      <c r="Q39" s="48"/>
      <c r="R39" s="48"/>
      <c r="S39" s="48"/>
      <c r="U39" s="48"/>
      <c r="V39" s="48"/>
      <c r="W39" s="48"/>
      <c r="X39" s="48"/>
      <c r="Y39" s="48"/>
      <c r="Z39" s="48"/>
      <c r="AA39" s="48"/>
      <c r="AB39" s="48"/>
      <c r="AC39" s="48"/>
    </row>
    <row r="40" spans="1:29" x14ac:dyDescent="0.3">
      <c r="A40" s="49"/>
      <c r="B40" s="49"/>
      <c r="C40" s="49"/>
      <c r="D40" s="49"/>
      <c r="E40" s="49"/>
      <c r="F40" s="49"/>
      <c r="G40" s="49"/>
      <c r="H40" s="49"/>
      <c r="I40" s="49"/>
      <c r="K40" s="48"/>
      <c r="L40" s="48"/>
      <c r="M40" s="48"/>
      <c r="N40" s="48"/>
      <c r="O40" s="48"/>
      <c r="P40" s="48"/>
      <c r="Q40" s="48"/>
      <c r="R40" s="48"/>
      <c r="S40" s="48"/>
      <c r="U40" s="48"/>
      <c r="V40" s="48"/>
      <c r="W40" s="48"/>
      <c r="X40" s="48"/>
      <c r="Y40" s="48"/>
      <c r="Z40" s="48"/>
      <c r="AA40" s="48"/>
      <c r="AB40" s="48"/>
      <c r="AC40" s="48"/>
    </row>
  </sheetData>
  <mergeCells count="3">
    <mergeCell ref="K1:S40"/>
    <mergeCell ref="A1:I40"/>
    <mergeCell ref="U1:AC40"/>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Welcome</vt:lpstr>
      <vt:lpstr>Roll</vt:lpstr>
      <vt:lpstr>Manual Display</vt:lpstr>
      <vt:lpstr>Incomplete Teams</vt:lpstr>
      <vt:lpstr>Teams of 2+1</vt:lpstr>
      <vt:lpstr>Teams of 2+2</vt:lpstr>
      <vt:lpstr>Teams of 3x1</vt:lpstr>
      <vt:lpstr>Team List</vt:lpstr>
      <vt:lpstr>Display</vt:lpstr>
      <vt:lpstr>Round 1</vt:lpstr>
      <vt:lpstr>Round 1 Working</vt:lpstr>
      <vt:lpstr>Round 2</vt:lpstr>
      <vt:lpstr>Round 2 Working</vt:lpstr>
      <vt:lpstr>Round 3</vt:lpstr>
      <vt:lpstr>Round 3 Working</vt:lpstr>
      <vt:lpstr>Round 4</vt:lpstr>
      <vt:lpstr>Round 4 Working</vt:lpstr>
      <vt:lpstr>Round 5</vt:lpstr>
      <vt:lpstr>Round 5 Working</vt:lpstr>
      <vt:lpstr>Round 6</vt:lpstr>
      <vt:lpstr>Round 6 Working</vt:lpstr>
      <vt:lpstr>Speaker Leaderboard</vt:lpstr>
      <vt:lpstr>Team Leaderboard</vt:lpstr>
      <vt:lpstr>Leaderboard Display</vt:lpstr>
      <vt:lpstr>Debugging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Bobby guy</dc:creator>
  <cp:lastModifiedBy>Isaac Jacobs</cp:lastModifiedBy>
  <dcterms:created xsi:type="dcterms:W3CDTF">2023-06-22T05:49:14Z</dcterms:created>
  <dcterms:modified xsi:type="dcterms:W3CDTF">2026-03-18T10:48:26Z</dcterms:modified>
</cp:coreProperties>
</file>